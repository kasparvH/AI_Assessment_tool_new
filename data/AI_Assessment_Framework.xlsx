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asparvanHulst\Downloads\"/>
    </mc:Choice>
  </mc:AlternateContent>
  <xr:revisionPtr revIDLastSave="0" documentId="13_ncr:1_{64FF9D2E-565D-4301-A319-52AB100AA98D}" xr6:coauthVersionLast="47" xr6:coauthVersionMax="47" xr10:uidLastSave="{00000000-0000-0000-0000-000000000000}"/>
  <bookViews>
    <workbookView xWindow="-23148" yWindow="-708" windowWidth="23256" windowHeight="13896" firstSheet="2" activeTab="6" xr2:uid="{00000000-000D-0000-FFFF-FFFF00000000}"/>
  </bookViews>
  <sheets>
    <sheet name="Sheet" sheetId="1" r:id="rId1"/>
    <sheet name="Config" sheetId="2" r:id="rId2"/>
    <sheet name="Dimension_Summary" sheetId="3" r:id="rId3"/>
    <sheet name="Radar_Data" sheetId="4" r:id="rId4"/>
    <sheet name="Overall_Summary" sheetId="5" r:id="rId5"/>
    <sheet name="Column_Explanation" sheetId="6" r:id="rId6"/>
    <sheet name="Results_Dashboard" sheetId="7" r:id="rId7"/>
  </sheets>
  <definedNames>
    <definedName name="_xlnm._FilterDatabase" localSheetId="0" hidden="1">Sheet!$A$1:$Q$204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7" l="1"/>
  <c r="C32" i="7"/>
  <c r="D32" i="7" s="1"/>
  <c r="B32" i="7"/>
  <c r="B31" i="7"/>
  <c r="B30" i="7"/>
  <c r="B29" i="7"/>
  <c r="A26" i="7"/>
  <c r="A25" i="7"/>
  <c r="A24" i="7"/>
  <c r="A23" i="7"/>
  <c r="A22" i="7"/>
  <c r="A21" i="7"/>
  <c r="A20" i="7"/>
  <c r="A16" i="7"/>
  <c r="A15" i="7"/>
  <c r="A14" i="7"/>
  <c r="A13" i="7"/>
  <c r="A12" i="7"/>
  <c r="A11" i="7"/>
  <c r="A10" i="7"/>
  <c r="E4" i="7"/>
  <c r="D4" i="7"/>
  <c r="B8" i="5"/>
  <c r="B9" i="5" s="1"/>
  <c r="D5" i="7" s="1"/>
  <c r="B7" i="5"/>
  <c r="B2" i="5"/>
  <c r="A8" i="4"/>
  <c r="A7" i="4"/>
  <c r="A6" i="4"/>
  <c r="A5" i="4"/>
  <c r="A4" i="4"/>
  <c r="A3" i="4"/>
  <c r="A2" i="4"/>
  <c r="B8" i="3"/>
  <c r="B7" i="3"/>
  <c r="B6" i="3"/>
  <c r="D5" i="3"/>
  <c r="D13" i="7" s="1"/>
  <c r="B5" i="3"/>
  <c r="B4" i="3"/>
  <c r="B3" i="3"/>
  <c r="B2" i="3"/>
  <c r="Q266" i="1"/>
  <c r="P266" i="1"/>
  <c r="O266" i="1"/>
  <c r="N266" i="1"/>
  <c r="L266" i="1"/>
  <c r="Q265" i="1"/>
  <c r="P265" i="1"/>
  <c r="O265" i="1"/>
  <c r="N265" i="1"/>
  <c r="L265" i="1"/>
  <c r="Q264" i="1"/>
  <c r="P264" i="1"/>
  <c r="O264" i="1"/>
  <c r="N264" i="1"/>
  <c r="L264" i="1"/>
  <c r="Q263" i="1"/>
  <c r="P263" i="1"/>
  <c r="O263" i="1"/>
  <c r="N263" i="1"/>
  <c r="L263" i="1"/>
  <c r="Q262" i="1"/>
  <c r="P262" i="1"/>
  <c r="O262" i="1"/>
  <c r="N262" i="1"/>
  <c r="L262" i="1"/>
  <c r="Q261" i="1"/>
  <c r="P261" i="1"/>
  <c r="O261" i="1"/>
  <c r="N261" i="1"/>
  <c r="L261" i="1"/>
  <c r="Q260" i="1"/>
  <c r="P260" i="1"/>
  <c r="O260" i="1"/>
  <c r="N260" i="1"/>
  <c r="L260" i="1"/>
  <c r="Q259" i="1"/>
  <c r="P259" i="1"/>
  <c r="O259" i="1"/>
  <c r="N259" i="1"/>
  <c r="L259" i="1"/>
  <c r="Q258" i="1"/>
  <c r="P258" i="1"/>
  <c r="O258" i="1"/>
  <c r="N258" i="1"/>
  <c r="L258" i="1"/>
  <c r="Q257" i="1"/>
  <c r="P257" i="1"/>
  <c r="O257" i="1"/>
  <c r="N257" i="1"/>
  <c r="L257" i="1"/>
  <c r="Q256" i="1"/>
  <c r="P256" i="1"/>
  <c r="O256" i="1"/>
  <c r="N256" i="1"/>
  <c r="L256" i="1"/>
  <c r="Q255" i="1"/>
  <c r="P255" i="1"/>
  <c r="O255" i="1"/>
  <c r="N255" i="1"/>
  <c r="L255" i="1"/>
  <c r="Q254" i="1"/>
  <c r="P254" i="1"/>
  <c r="O254" i="1"/>
  <c r="N254" i="1"/>
  <c r="L254" i="1"/>
  <c r="Q253" i="1"/>
  <c r="P253" i="1"/>
  <c r="O253" i="1"/>
  <c r="N253" i="1"/>
  <c r="L253" i="1"/>
  <c r="Q252" i="1"/>
  <c r="P252" i="1"/>
  <c r="O252" i="1"/>
  <c r="N252" i="1"/>
  <c r="L252" i="1"/>
  <c r="Q251" i="1"/>
  <c r="P251" i="1"/>
  <c r="O251" i="1"/>
  <c r="N251" i="1"/>
  <c r="L251" i="1"/>
  <c r="Q250" i="1"/>
  <c r="P250" i="1"/>
  <c r="O250" i="1"/>
  <c r="N250" i="1"/>
  <c r="L250" i="1"/>
  <c r="Q249" i="1"/>
  <c r="P249" i="1"/>
  <c r="O249" i="1"/>
  <c r="N249" i="1"/>
  <c r="L249" i="1"/>
  <c r="Q248" i="1"/>
  <c r="P248" i="1"/>
  <c r="O248" i="1"/>
  <c r="N248" i="1"/>
  <c r="L248" i="1"/>
  <c r="Q247" i="1"/>
  <c r="P247" i="1"/>
  <c r="O247" i="1"/>
  <c r="N247" i="1"/>
  <c r="L247" i="1"/>
  <c r="Q246" i="1"/>
  <c r="P246" i="1"/>
  <c r="O246" i="1"/>
  <c r="N246" i="1"/>
  <c r="L246" i="1"/>
  <c r="Q245" i="1"/>
  <c r="P245" i="1"/>
  <c r="O245" i="1"/>
  <c r="N245" i="1"/>
  <c r="L245" i="1"/>
  <c r="Q244" i="1"/>
  <c r="P244" i="1"/>
  <c r="O244" i="1"/>
  <c r="N244" i="1"/>
  <c r="L244" i="1"/>
  <c r="Q243" i="1"/>
  <c r="P243" i="1"/>
  <c r="O243" i="1"/>
  <c r="N243" i="1"/>
  <c r="L243" i="1"/>
  <c r="Q242" i="1"/>
  <c r="P242" i="1"/>
  <c r="O242" i="1"/>
  <c r="C8" i="3" s="1"/>
  <c r="N242" i="1"/>
  <c r="L242" i="1"/>
  <c r="Q241" i="1"/>
  <c r="P241" i="1"/>
  <c r="O241" i="1"/>
  <c r="N241" i="1"/>
  <c r="L241" i="1"/>
  <c r="Q240" i="1"/>
  <c r="P240" i="1"/>
  <c r="D8" i="3" s="1"/>
  <c r="O240" i="1"/>
  <c r="N240" i="1"/>
  <c r="L240" i="1"/>
  <c r="Q239" i="1"/>
  <c r="P239" i="1"/>
  <c r="O239" i="1"/>
  <c r="N239" i="1"/>
  <c r="L239" i="1"/>
  <c r="Q238" i="1"/>
  <c r="P238" i="1"/>
  <c r="O238" i="1"/>
  <c r="N238" i="1"/>
  <c r="L238" i="1"/>
  <c r="Q237" i="1"/>
  <c r="P237" i="1"/>
  <c r="O237" i="1"/>
  <c r="N237" i="1"/>
  <c r="L237" i="1"/>
  <c r="Q236" i="1"/>
  <c r="P236" i="1"/>
  <c r="O236" i="1"/>
  <c r="N236" i="1"/>
  <c r="L236" i="1"/>
  <c r="Q235" i="1"/>
  <c r="P235" i="1"/>
  <c r="O235" i="1"/>
  <c r="N235" i="1"/>
  <c r="L235" i="1"/>
  <c r="Q234" i="1"/>
  <c r="P234" i="1"/>
  <c r="O234" i="1"/>
  <c r="N234" i="1"/>
  <c r="L234" i="1"/>
  <c r="Q233" i="1"/>
  <c r="P233" i="1"/>
  <c r="O233" i="1"/>
  <c r="N233" i="1"/>
  <c r="L233" i="1"/>
  <c r="Q232" i="1"/>
  <c r="P232" i="1"/>
  <c r="O232" i="1"/>
  <c r="N232" i="1"/>
  <c r="L232" i="1"/>
  <c r="Q231" i="1"/>
  <c r="P231" i="1"/>
  <c r="O231" i="1"/>
  <c r="N231" i="1"/>
  <c r="L231" i="1"/>
  <c r="Q230" i="1"/>
  <c r="P230" i="1"/>
  <c r="O230" i="1"/>
  <c r="N230" i="1"/>
  <c r="L230" i="1"/>
  <c r="Q229" i="1"/>
  <c r="P229" i="1"/>
  <c r="O229" i="1"/>
  <c r="N229" i="1"/>
  <c r="L229" i="1"/>
  <c r="Q228" i="1"/>
  <c r="P228" i="1"/>
  <c r="O228" i="1"/>
  <c r="N228" i="1"/>
  <c r="L228" i="1"/>
  <c r="Q227" i="1"/>
  <c r="P227" i="1"/>
  <c r="O227" i="1"/>
  <c r="N227" i="1"/>
  <c r="L227" i="1"/>
  <c r="Q226" i="1"/>
  <c r="P226" i="1"/>
  <c r="O226" i="1"/>
  <c r="N226" i="1"/>
  <c r="L226" i="1"/>
  <c r="Q225" i="1"/>
  <c r="P225" i="1"/>
  <c r="O225" i="1"/>
  <c r="N225" i="1"/>
  <c r="L225" i="1"/>
  <c r="Q224" i="1"/>
  <c r="P224" i="1"/>
  <c r="O224" i="1"/>
  <c r="N224" i="1"/>
  <c r="L224" i="1"/>
  <c r="Q223" i="1"/>
  <c r="P223" i="1"/>
  <c r="O223" i="1"/>
  <c r="N223" i="1"/>
  <c r="L223" i="1"/>
  <c r="Q222" i="1"/>
  <c r="P222" i="1"/>
  <c r="O222" i="1"/>
  <c r="N222" i="1"/>
  <c r="L222" i="1"/>
  <c r="Q221" i="1"/>
  <c r="P221" i="1"/>
  <c r="O221" i="1"/>
  <c r="N221" i="1"/>
  <c r="L221" i="1"/>
  <c r="Q220" i="1"/>
  <c r="P220" i="1"/>
  <c r="O220" i="1"/>
  <c r="N220" i="1"/>
  <c r="L220" i="1"/>
  <c r="Q219" i="1"/>
  <c r="P219" i="1"/>
  <c r="O219" i="1"/>
  <c r="N219" i="1"/>
  <c r="L219" i="1"/>
  <c r="Q218" i="1"/>
  <c r="P218" i="1"/>
  <c r="O218" i="1"/>
  <c r="N218" i="1"/>
  <c r="L218" i="1"/>
  <c r="Q217" i="1"/>
  <c r="P217" i="1"/>
  <c r="O217" i="1"/>
  <c r="N217" i="1"/>
  <c r="L217" i="1"/>
  <c r="Q216" i="1"/>
  <c r="P216" i="1"/>
  <c r="O216" i="1"/>
  <c r="N216" i="1"/>
  <c r="L216" i="1"/>
  <c r="Q215" i="1"/>
  <c r="P215" i="1"/>
  <c r="O215" i="1"/>
  <c r="N215" i="1"/>
  <c r="L215" i="1"/>
  <c r="Q214" i="1"/>
  <c r="P214" i="1"/>
  <c r="O214" i="1"/>
  <c r="N214" i="1"/>
  <c r="L214" i="1"/>
  <c r="Q213" i="1"/>
  <c r="P213" i="1"/>
  <c r="O213" i="1"/>
  <c r="N213" i="1"/>
  <c r="L213" i="1"/>
  <c r="Q212" i="1"/>
  <c r="P212" i="1"/>
  <c r="O212" i="1"/>
  <c r="N212" i="1"/>
  <c r="L212" i="1"/>
  <c r="Q211" i="1"/>
  <c r="P211" i="1"/>
  <c r="O211" i="1"/>
  <c r="N211" i="1"/>
  <c r="L211" i="1"/>
  <c r="Q210" i="1"/>
  <c r="P210" i="1"/>
  <c r="O210" i="1"/>
  <c r="N210" i="1"/>
  <c r="L210" i="1"/>
  <c r="Q209" i="1"/>
  <c r="P209" i="1"/>
  <c r="O209" i="1"/>
  <c r="N209" i="1"/>
  <c r="L209" i="1"/>
  <c r="Q208" i="1"/>
  <c r="P208" i="1"/>
  <c r="O208" i="1"/>
  <c r="N208" i="1"/>
  <c r="L208" i="1"/>
  <c r="Q207" i="1"/>
  <c r="P207" i="1"/>
  <c r="O207" i="1"/>
  <c r="N207" i="1"/>
  <c r="L207" i="1"/>
  <c r="Q206" i="1"/>
  <c r="P206" i="1"/>
  <c r="O206" i="1"/>
  <c r="N206" i="1"/>
  <c r="L206" i="1"/>
  <c r="Q205" i="1"/>
  <c r="P205" i="1"/>
  <c r="O205" i="1"/>
  <c r="N205" i="1"/>
  <c r="L205" i="1"/>
  <c r="Q204" i="1"/>
  <c r="P204" i="1"/>
  <c r="O204" i="1"/>
  <c r="N204" i="1"/>
  <c r="L204" i="1"/>
  <c r="Q203" i="1"/>
  <c r="P203" i="1"/>
  <c r="O203" i="1"/>
  <c r="N203" i="1"/>
  <c r="L203" i="1"/>
  <c r="Q202" i="1"/>
  <c r="P202" i="1"/>
  <c r="O202" i="1"/>
  <c r="N202" i="1"/>
  <c r="L202" i="1"/>
  <c r="Q201" i="1"/>
  <c r="P201" i="1"/>
  <c r="O201" i="1"/>
  <c r="N201" i="1"/>
  <c r="L201" i="1"/>
  <c r="Q200" i="1"/>
  <c r="P200" i="1"/>
  <c r="O200" i="1"/>
  <c r="N200" i="1"/>
  <c r="L200" i="1"/>
  <c r="Q199" i="1"/>
  <c r="P199" i="1"/>
  <c r="D7" i="3" s="1"/>
  <c r="O199" i="1"/>
  <c r="C7" i="3" s="1"/>
  <c r="N199" i="1"/>
  <c r="L199" i="1"/>
  <c r="Q198" i="1"/>
  <c r="P198" i="1"/>
  <c r="O198" i="1"/>
  <c r="N198" i="1"/>
  <c r="L198" i="1"/>
  <c r="Q197" i="1"/>
  <c r="P197" i="1"/>
  <c r="O197" i="1"/>
  <c r="N197" i="1"/>
  <c r="L197" i="1"/>
  <c r="Q196" i="1"/>
  <c r="P196" i="1"/>
  <c r="O196" i="1"/>
  <c r="N196" i="1"/>
  <c r="L196" i="1"/>
  <c r="Q195" i="1"/>
  <c r="P195" i="1"/>
  <c r="O195" i="1"/>
  <c r="N195" i="1"/>
  <c r="L195" i="1"/>
  <c r="Q194" i="1"/>
  <c r="P194" i="1"/>
  <c r="O194" i="1"/>
  <c r="N194" i="1"/>
  <c r="L194" i="1"/>
  <c r="Q193" i="1"/>
  <c r="P193" i="1"/>
  <c r="O193" i="1"/>
  <c r="N193" i="1"/>
  <c r="L193" i="1"/>
  <c r="Q192" i="1"/>
  <c r="P192" i="1"/>
  <c r="O192" i="1"/>
  <c r="N192" i="1"/>
  <c r="L192" i="1"/>
  <c r="Q191" i="1"/>
  <c r="P191" i="1"/>
  <c r="O191" i="1"/>
  <c r="N191" i="1"/>
  <c r="L191" i="1"/>
  <c r="Q190" i="1"/>
  <c r="P190" i="1"/>
  <c r="O190" i="1"/>
  <c r="N190" i="1"/>
  <c r="L190" i="1"/>
  <c r="Q189" i="1"/>
  <c r="P189" i="1"/>
  <c r="O189" i="1"/>
  <c r="N189" i="1"/>
  <c r="L189" i="1"/>
  <c r="Q188" i="1"/>
  <c r="P188" i="1"/>
  <c r="O188" i="1"/>
  <c r="N188" i="1"/>
  <c r="L188" i="1"/>
  <c r="Q187" i="1"/>
  <c r="P187" i="1"/>
  <c r="O187" i="1"/>
  <c r="N187" i="1"/>
  <c r="L187" i="1"/>
  <c r="Q186" i="1"/>
  <c r="P186" i="1"/>
  <c r="O186" i="1"/>
  <c r="N186" i="1"/>
  <c r="L186" i="1"/>
  <c r="Q185" i="1"/>
  <c r="P185" i="1"/>
  <c r="O185" i="1"/>
  <c r="N185" i="1"/>
  <c r="L185" i="1"/>
  <c r="Q184" i="1"/>
  <c r="P184" i="1"/>
  <c r="O184" i="1"/>
  <c r="N184" i="1"/>
  <c r="L184" i="1"/>
  <c r="Q183" i="1"/>
  <c r="P183" i="1"/>
  <c r="O183" i="1"/>
  <c r="N183" i="1"/>
  <c r="L183" i="1"/>
  <c r="Q182" i="1"/>
  <c r="P182" i="1"/>
  <c r="O182" i="1"/>
  <c r="N182" i="1"/>
  <c r="L182" i="1"/>
  <c r="Q181" i="1"/>
  <c r="P181" i="1"/>
  <c r="O181" i="1"/>
  <c r="N181" i="1"/>
  <c r="L181" i="1"/>
  <c r="Q180" i="1"/>
  <c r="P180" i="1"/>
  <c r="O180" i="1"/>
  <c r="N180" i="1"/>
  <c r="L180" i="1"/>
  <c r="Q179" i="1"/>
  <c r="P179" i="1"/>
  <c r="O179" i="1"/>
  <c r="N179" i="1"/>
  <c r="L179" i="1"/>
  <c r="Q178" i="1"/>
  <c r="P178" i="1"/>
  <c r="O178" i="1"/>
  <c r="N178" i="1"/>
  <c r="L178" i="1"/>
  <c r="Q177" i="1"/>
  <c r="P177" i="1"/>
  <c r="O177" i="1"/>
  <c r="N177" i="1"/>
  <c r="L177" i="1"/>
  <c r="Q176" i="1"/>
  <c r="P176" i="1"/>
  <c r="O176" i="1"/>
  <c r="N176" i="1"/>
  <c r="L176" i="1"/>
  <c r="Q175" i="1"/>
  <c r="P175" i="1"/>
  <c r="O175" i="1"/>
  <c r="N175" i="1"/>
  <c r="L175" i="1"/>
  <c r="Q174" i="1"/>
  <c r="P174" i="1"/>
  <c r="O174" i="1"/>
  <c r="N174" i="1"/>
  <c r="L174" i="1"/>
  <c r="Q173" i="1"/>
  <c r="P173" i="1"/>
  <c r="O173" i="1"/>
  <c r="N173" i="1"/>
  <c r="L173" i="1"/>
  <c r="Q172" i="1"/>
  <c r="P172" i="1"/>
  <c r="O172" i="1"/>
  <c r="N172" i="1"/>
  <c r="L172" i="1"/>
  <c r="Q171" i="1"/>
  <c r="P171" i="1"/>
  <c r="O171" i="1"/>
  <c r="N171" i="1"/>
  <c r="L171" i="1"/>
  <c r="Q170" i="1"/>
  <c r="P170" i="1"/>
  <c r="O170" i="1"/>
  <c r="N170" i="1"/>
  <c r="L170" i="1"/>
  <c r="Q169" i="1"/>
  <c r="P169" i="1"/>
  <c r="O169" i="1"/>
  <c r="N169" i="1"/>
  <c r="L169" i="1"/>
  <c r="Q168" i="1"/>
  <c r="P168" i="1"/>
  <c r="O168" i="1"/>
  <c r="N168" i="1"/>
  <c r="L168" i="1"/>
  <c r="Q167" i="1"/>
  <c r="P167" i="1"/>
  <c r="O167" i="1"/>
  <c r="N167" i="1"/>
  <c r="L167" i="1"/>
  <c r="Q166" i="1"/>
  <c r="P166" i="1"/>
  <c r="O166" i="1"/>
  <c r="N166" i="1"/>
  <c r="L166" i="1"/>
  <c r="Q165" i="1"/>
  <c r="P165" i="1"/>
  <c r="O165" i="1"/>
  <c r="N165" i="1"/>
  <c r="L165" i="1"/>
  <c r="Q164" i="1"/>
  <c r="P164" i="1"/>
  <c r="O164" i="1"/>
  <c r="N164" i="1"/>
  <c r="L164" i="1"/>
  <c r="Q163" i="1"/>
  <c r="P163" i="1"/>
  <c r="O163" i="1"/>
  <c r="N163" i="1"/>
  <c r="L163" i="1"/>
  <c r="Q162" i="1"/>
  <c r="P162" i="1"/>
  <c r="O162" i="1"/>
  <c r="C6" i="3" s="1"/>
  <c r="N162" i="1"/>
  <c r="L162" i="1"/>
  <c r="Q161" i="1"/>
  <c r="P161" i="1"/>
  <c r="D6" i="3" s="1"/>
  <c r="O161" i="1"/>
  <c r="N161" i="1"/>
  <c r="L161" i="1"/>
  <c r="Q160" i="1"/>
  <c r="P160" i="1"/>
  <c r="O160" i="1"/>
  <c r="N160" i="1"/>
  <c r="L160" i="1"/>
  <c r="Q159" i="1"/>
  <c r="P159" i="1"/>
  <c r="O159" i="1"/>
  <c r="N159" i="1"/>
  <c r="L159" i="1"/>
  <c r="Q158" i="1"/>
  <c r="P158" i="1"/>
  <c r="O158" i="1"/>
  <c r="N158" i="1"/>
  <c r="L158" i="1"/>
  <c r="Q157" i="1"/>
  <c r="P157" i="1"/>
  <c r="O157" i="1"/>
  <c r="N157" i="1"/>
  <c r="L157" i="1"/>
  <c r="Q156" i="1"/>
  <c r="P156" i="1"/>
  <c r="O156" i="1"/>
  <c r="N156" i="1"/>
  <c r="L156" i="1"/>
  <c r="Q155" i="1"/>
  <c r="P155" i="1"/>
  <c r="O155" i="1"/>
  <c r="N155" i="1"/>
  <c r="L155" i="1"/>
  <c r="Q154" i="1"/>
  <c r="P154" i="1"/>
  <c r="O154" i="1"/>
  <c r="N154" i="1"/>
  <c r="L154" i="1"/>
  <c r="Q153" i="1"/>
  <c r="P153" i="1"/>
  <c r="O153" i="1"/>
  <c r="N153" i="1"/>
  <c r="L153" i="1"/>
  <c r="Q152" i="1"/>
  <c r="P152" i="1"/>
  <c r="O152" i="1"/>
  <c r="N152" i="1"/>
  <c r="L152" i="1"/>
  <c r="Q151" i="1"/>
  <c r="P151" i="1"/>
  <c r="O151" i="1"/>
  <c r="N151" i="1"/>
  <c r="L151" i="1"/>
  <c r="Q150" i="1"/>
  <c r="P150" i="1"/>
  <c r="O150" i="1"/>
  <c r="N150" i="1"/>
  <c r="L150" i="1"/>
  <c r="Q149" i="1"/>
  <c r="P149" i="1"/>
  <c r="O149" i="1"/>
  <c r="N149" i="1"/>
  <c r="L149" i="1"/>
  <c r="Q148" i="1"/>
  <c r="P148" i="1"/>
  <c r="O148" i="1"/>
  <c r="N148" i="1"/>
  <c r="L148" i="1"/>
  <c r="Q147" i="1"/>
  <c r="P147" i="1"/>
  <c r="O147" i="1"/>
  <c r="N147" i="1"/>
  <c r="L147" i="1"/>
  <c r="Q146" i="1"/>
  <c r="P146" i="1"/>
  <c r="O146" i="1"/>
  <c r="N146" i="1"/>
  <c r="L146" i="1"/>
  <c r="Q145" i="1"/>
  <c r="P145" i="1"/>
  <c r="O145" i="1"/>
  <c r="N145" i="1"/>
  <c r="L145" i="1"/>
  <c r="Q144" i="1"/>
  <c r="P144" i="1"/>
  <c r="O144" i="1"/>
  <c r="N144" i="1"/>
  <c r="L144" i="1"/>
  <c r="Q143" i="1"/>
  <c r="P143" i="1"/>
  <c r="O143" i="1"/>
  <c r="N143" i="1"/>
  <c r="L143" i="1"/>
  <c r="Q142" i="1"/>
  <c r="P142" i="1"/>
  <c r="O142" i="1"/>
  <c r="N142" i="1"/>
  <c r="L142" i="1"/>
  <c r="Q141" i="1"/>
  <c r="P141" i="1"/>
  <c r="O141" i="1"/>
  <c r="N141" i="1"/>
  <c r="L141" i="1"/>
  <c r="Q140" i="1"/>
  <c r="P140" i="1"/>
  <c r="O140" i="1"/>
  <c r="N140" i="1"/>
  <c r="L140" i="1"/>
  <c r="Q139" i="1"/>
  <c r="P139" i="1"/>
  <c r="O139" i="1"/>
  <c r="N139" i="1"/>
  <c r="L139" i="1"/>
  <c r="Q138" i="1"/>
  <c r="P138" i="1"/>
  <c r="O138" i="1"/>
  <c r="N138" i="1"/>
  <c r="L138" i="1"/>
  <c r="Q137" i="1"/>
  <c r="P137" i="1"/>
  <c r="O137" i="1"/>
  <c r="N137" i="1"/>
  <c r="L137" i="1"/>
  <c r="Q136" i="1"/>
  <c r="P136" i="1"/>
  <c r="O136" i="1"/>
  <c r="N136" i="1"/>
  <c r="L136" i="1"/>
  <c r="Q135" i="1"/>
  <c r="P135" i="1"/>
  <c r="O135" i="1"/>
  <c r="N135" i="1"/>
  <c r="L135" i="1"/>
  <c r="Q134" i="1"/>
  <c r="P134" i="1"/>
  <c r="O134" i="1"/>
  <c r="N134" i="1"/>
  <c r="L134" i="1"/>
  <c r="Q133" i="1"/>
  <c r="P133" i="1"/>
  <c r="O133" i="1"/>
  <c r="N133" i="1"/>
  <c r="L133" i="1"/>
  <c r="Q132" i="1"/>
  <c r="P132" i="1"/>
  <c r="O132" i="1"/>
  <c r="N132" i="1"/>
  <c r="L132" i="1"/>
  <c r="Q131" i="1"/>
  <c r="P131" i="1"/>
  <c r="O131" i="1"/>
  <c r="N131" i="1"/>
  <c r="L131" i="1"/>
  <c r="Q130" i="1"/>
  <c r="P130" i="1"/>
  <c r="O130" i="1"/>
  <c r="N130" i="1"/>
  <c r="L130" i="1"/>
  <c r="Q129" i="1"/>
  <c r="P129" i="1"/>
  <c r="O129" i="1"/>
  <c r="N129" i="1"/>
  <c r="L129" i="1"/>
  <c r="Q128" i="1"/>
  <c r="P128" i="1"/>
  <c r="O128" i="1"/>
  <c r="C5" i="3" s="1"/>
  <c r="N128" i="1"/>
  <c r="L128" i="1"/>
  <c r="Q127" i="1"/>
  <c r="P127" i="1"/>
  <c r="O127" i="1"/>
  <c r="N127" i="1"/>
  <c r="L127" i="1"/>
  <c r="Q126" i="1"/>
  <c r="P126" i="1"/>
  <c r="O126" i="1"/>
  <c r="N126" i="1"/>
  <c r="L126" i="1"/>
  <c r="Q125" i="1"/>
  <c r="P125" i="1"/>
  <c r="O125" i="1"/>
  <c r="N125" i="1"/>
  <c r="L125" i="1"/>
  <c r="Q124" i="1"/>
  <c r="P124" i="1"/>
  <c r="O124" i="1"/>
  <c r="N124" i="1"/>
  <c r="L124" i="1"/>
  <c r="Q123" i="1"/>
  <c r="P123" i="1"/>
  <c r="O123" i="1"/>
  <c r="N123" i="1"/>
  <c r="L123" i="1"/>
  <c r="Q122" i="1"/>
  <c r="P122" i="1"/>
  <c r="O122" i="1"/>
  <c r="N122" i="1"/>
  <c r="L122" i="1"/>
  <c r="Q121" i="1"/>
  <c r="P121" i="1"/>
  <c r="O121" i="1"/>
  <c r="N121" i="1"/>
  <c r="L121" i="1"/>
  <c r="Q120" i="1"/>
  <c r="P120" i="1"/>
  <c r="O120" i="1"/>
  <c r="N120" i="1"/>
  <c r="L120" i="1"/>
  <c r="Q119" i="1"/>
  <c r="P119" i="1"/>
  <c r="O119" i="1"/>
  <c r="N119" i="1"/>
  <c r="L119" i="1"/>
  <c r="Q118" i="1"/>
  <c r="P118" i="1"/>
  <c r="O118" i="1"/>
  <c r="N118" i="1"/>
  <c r="L118" i="1"/>
  <c r="Q117" i="1"/>
  <c r="P117" i="1"/>
  <c r="O117" i="1"/>
  <c r="N117" i="1"/>
  <c r="L117" i="1"/>
  <c r="Q116" i="1"/>
  <c r="P116" i="1"/>
  <c r="O116" i="1"/>
  <c r="N116" i="1"/>
  <c r="L116" i="1"/>
  <c r="Q115" i="1"/>
  <c r="P115" i="1"/>
  <c r="O115" i="1"/>
  <c r="N115" i="1"/>
  <c r="L115" i="1"/>
  <c r="Q114" i="1"/>
  <c r="P114" i="1"/>
  <c r="O114" i="1"/>
  <c r="N114" i="1"/>
  <c r="L114" i="1"/>
  <c r="Q113" i="1"/>
  <c r="P113" i="1"/>
  <c r="O113" i="1"/>
  <c r="N113" i="1"/>
  <c r="L113" i="1"/>
  <c r="Q112" i="1"/>
  <c r="P112" i="1"/>
  <c r="O112" i="1"/>
  <c r="N112" i="1"/>
  <c r="L112" i="1"/>
  <c r="Q111" i="1"/>
  <c r="P111" i="1"/>
  <c r="O111" i="1"/>
  <c r="N111" i="1"/>
  <c r="L111" i="1"/>
  <c r="Q110" i="1"/>
  <c r="P110" i="1"/>
  <c r="O110" i="1"/>
  <c r="N110" i="1"/>
  <c r="L110" i="1"/>
  <c r="Q109" i="1"/>
  <c r="P109" i="1"/>
  <c r="O109" i="1"/>
  <c r="N109" i="1"/>
  <c r="L109" i="1"/>
  <c r="Q108" i="1"/>
  <c r="P108" i="1"/>
  <c r="O108" i="1"/>
  <c r="N108" i="1"/>
  <c r="L108" i="1"/>
  <c r="Q107" i="1"/>
  <c r="P107" i="1"/>
  <c r="O107" i="1"/>
  <c r="N107" i="1"/>
  <c r="L107" i="1"/>
  <c r="Q106" i="1"/>
  <c r="P106" i="1"/>
  <c r="O106" i="1"/>
  <c r="N106" i="1"/>
  <c r="L106" i="1"/>
  <c r="Q105" i="1"/>
  <c r="P105" i="1"/>
  <c r="O105" i="1"/>
  <c r="N105" i="1"/>
  <c r="L105" i="1"/>
  <c r="Q104" i="1"/>
  <c r="P104" i="1"/>
  <c r="O104" i="1"/>
  <c r="N104" i="1"/>
  <c r="L104" i="1"/>
  <c r="Q103" i="1"/>
  <c r="P103" i="1"/>
  <c r="D4" i="3" s="1"/>
  <c r="O103" i="1"/>
  <c r="C4" i="3" s="1"/>
  <c r="N103" i="1"/>
  <c r="L103" i="1"/>
  <c r="Q102" i="1"/>
  <c r="P102" i="1"/>
  <c r="O102" i="1"/>
  <c r="N102" i="1"/>
  <c r="L102" i="1"/>
  <c r="Q101" i="1"/>
  <c r="P101" i="1"/>
  <c r="O101" i="1"/>
  <c r="N101" i="1"/>
  <c r="L101" i="1"/>
  <c r="Q100" i="1"/>
  <c r="P100" i="1"/>
  <c r="O100" i="1"/>
  <c r="N100" i="1"/>
  <c r="L100" i="1"/>
  <c r="Q99" i="1"/>
  <c r="P99" i="1"/>
  <c r="O99" i="1"/>
  <c r="N99" i="1"/>
  <c r="L99" i="1"/>
  <c r="Q98" i="1"/>
  <c r="P98" i="1"/>
  <c r="O98" i="1"/>
  <c r="N98" i="1"/>
  <c r="L98" i="1"/>
  <c r="Q97" i="1"/>
  <c r="P97" i="1"/>
  <c r="O97" i="1"/>
  <c r="N97" i="1"/>
  <c r="L97" i="1"/>
  <c r="Q96" i="1"/>
  <c r="P96" i="1"/>
  <c r="O96" i="1"/>
  <c r="N96" i="1"/>
  <c r="L96" i="1"/>
  <c r="Q95" i="1"/>
  <c r="P95" i="1"/>
  <c r="O95" i="1"/>
  <c r="N95" i="1"/>
  <c r="L95" i="1"/>
  <c r="Q94" i="1"/>
  <c r="P94" i="1"/>
  <c r="O94" i="1"/>
  <c r="N94" i="1"/>
  <c r="L94" i="1"/>
  <c r="Q93" i="1"/>
  <c r="P93" i="1"/>
  <c r="O93" i="1"/>
  <c r="N93" i="1"/>
  <c r="L93" i="1"/>
  <c r="Q92" i="1"/>
  <c r="P92" i="1"/>
  <c r="O92" i="1"/>
  <c r="N92" i="1"/>
  <c r="L92" i="1"/>
  <c r="Q91" i="1"/>
  <c r="P91" i="1"/>
  <c r="O91" i="1"/>
  <c r="N91" i="1"/>
  <c r="L91" i="1"/>
  <c r="Q90" i="1"/>
  <c r="P90" i="1"/>
  <c r="O90" i="1"/>
  <c r="N90" i="1"/>
  <c r="L90" i="1"/>
  <c r="Q89" i="1"/>
  <c r="P89" i="1"/>
  <c r="O89" i="1"/>
  <c r="N89" i="1"/>
  <c r="L89" i="1"/>
  <c r="Q88" i="1"/>
  <c r="P88" i="1"/>
  <c r="O88" i="1"/>
  <c r="N88" i="1"/>
  <c r="L88" i="1"/>
  <c r="Q87" i="1"/>
  <c r="P87" i="1"/>
  <c r="O87" i="1"/>
  <c r="N87" i="1"/>
  <c r="L87" i="1"/>
  <c r="Q86" i="1"/>
  <c r="P86" i="1"/>
  <c r="O86" i="1"/>
  <c r="N86" i="1"/>
  <c r="L86" i="1"/>
  <c r="Q85" i="1"/>
  <c r="P85" i="1"/>
  <c r="O85" i="1"/>
  <c r="N85" i="1"/>
  <c r="L85" i="1"/>
  <c r="Q84" i="1"/>
  <c r="P84" i="1"/>
  <c r="O84" i="1"/>
  <c r="N84" i="1"/>
  <c r="L84" i="1"/>
  <c r="Q83" i="1"/>
  <c r="P83" i="1"/>
  <c r="O83" i="1"/>
  <c r="N83" i="1"/>
  <c r="L83" i="1"/>
  <c r="Q82" i="1"/>
  <c r="P82" i="1"/>
  <c r="O82" i="1"/>
  <c r="N82" i="1"/>
  <c r="L82" i="1"/>
  <c r="Q81" i="1"/>
  <c r="P81" i="1"/>
  <c r="O81" i="1"/>
  <c r="N81" i="1"/>
  <c r="L81" i="1"/>
  <c r="Q80" i="1"/>
  <c r="P80" i="1"/>
  <c r="O80" i="1"/>
  <c r="N80" i="1"/>
  <c r="L80" i="1"/>
  <c r="Q79" i="1"/>
  <c r="P79" i="1"/>
  <c r="O79" i="1"/>
  <c r="N79" i="1"/>
  <c r="L79" i="1"/>
  <c r="Q78" i="1"/>
  <c r="P78" i="1"/>
  <c r="O78" i="1"/>
  <c r="N78" i="1"/>
  <c r="L78" i="1"/>
  <c r="Q77" i="1"/>
  <c r="P77" i="1"/>
  <c r="O77" i="1"/>
  <c r="N77" i="1"/>
  <c r="L77" i="1"/>
  <c r="Q76" i="1"/>
  <c r="P76" i="1"/>
  <c r="O76" i="1"/>
  <c r="N76" i="1"/>
  <c r="L76" i="1"/>
  <c r="Q75" i="1"/>
  <c r="P75" i="1"/>
  <c r="O75" i="1"/>
  <c r="N75" i="1"/>
  <c r="L75" i="1"/>
  <c r="Q74" i="1"/>
  <c r="P74" i="1"/>
  <c r="O74" i="1"/>
  <c r="N74" i="1"/>
  <c r="L74" i="1"/>
  <c r="Q73" i="1"/>
  <c r="P73" i="1"/>
  <c r="O73" i="1"/>
  <c r="N73" i="1"/>
  <c r="L73" i="1"/>
  <c r="Q72" i="1"/>
  <c r="P72" i="1"/>
  <c r="O72" i="1"/>
  <c r="N72" i="1"/>
  <c r="L72" i="1"/>
  <c r="Q71" i="1"/>
  <c r="P71" i="1"/>
  <c r="O71" i="1"/>
  <c r="N71" i="1"/>
  <c r="L71" i="1"/>
  <c r="Q70" i="1"/>
  <c r="P70" i="1"/>
  <c r="O70" i="1"/>
  <c r="N70" i="1"/>
  <c r="L70" i="1"/>
  <c r="Q69" i="1"/>
  <c r="P69" i="1"/>
  <c r="O69" i="1"/>
  <c r="N69" i="1"/>
  <c r="L69" i="1"/>
  <c r="Q68" i="1"/>
  <c r="P68" i="1"/>
  <c r="O68" i="1"/>
  <c r="N68" i="1"/>
  <c r="L68" i="1"/>
  <c r="Q67" i="1"/>
  <c r="P67" i="1"/>
  <c r="O67" i="1"/>
  <c r="N67" i="1"/>
  <c r="L67" i="1"/>
  <c r="Q66" i="1"/>
  <c r="P66" i="1"/>
  <c r="O66" i="1"/>
  <c r="N66" i="1"/>
  <c r="L66" i="1"/>
  <c r="Q65" i="1"/>
  <c r="P65" i="1"/>
  <c r="O65" i="1"/>
  <c r="N65" i="1"/>
  <c r="L65" i="1"/>
  <c r="Q64" i="1"/>
  <c r="P64" i="1"/>
  <c r="O64" i="1"/>
  <c r="N64" i="1"/>
  <c r="L64" i="1"/>
  <c r="Q63" i="1"/>
  <c r="P63" i="1"/>
  <c r="O63" i="1"/>
  <c r="N63" i="1"/>
  <c r="L63" i="1"/>
  <c r="Q62" i="1"/>
  <c r="P62" i="1"/>
  <c r="O62" i="1"/>
  <c r="N62" i="1"/>
  <c r="L62" i="1"/>
  <c r="Q61" i="1"/>
  <c r="P61" i="1"/>
  <c r="O61" i="1"/>
  <c r="N61" i="1"/>
  <c r="L61" i="1"/>
  <c r="Q60" i="1"/>
  <c r="P60" i="1"/>
  <c r="O60" i="1"/>
  <c r="N60" i="1"/>
  <c r="L60" i="1"/>
  <c r="Q59" i="1"/>
  <c r="P59" i="1"/>
  <c r="O59" i="1"/>
  <c r="N59" i="1"/>
  <c r="L59" i="1"/>
  <c r="Q58" i="1"/>
  <c r="P58" i="1"/>
  <c r="O58" i="1"/>
  <c r="N58" i="1"/>
  <c r="L58" i="1"/>
  <c r="Q57" i="1"/>
  <c r="P57" i="1"/>
  <c r="O57" i="1"/>
  <c r="N57" i="1"/>
  <c r="L57" i="1"/>
  <c r="Q56" i="1"/>
  <c r="P56" i="1"/>
  <c r="O56" i="1"/>
  <c r="N56" i="1"/>
  <c r="L56" i="1"/>
  <c r="Q55" i="1"/>
  <c r="P55" i="1"/>
  <c r="O55" i="1"/>
  <c r="N55" i="1"/>
  <c r="L55" i="1"/>
  <c r="Q54" i="1"/>
  <c r="P54" i="1"/>
  <c r="O54" i="1"/>
  <c r="N54" i="1"/>
  <c r="L54" i="1"/>
  <c r="Q53" i="1"/>
  <c r="P53" i="1"/>
  <c r="O53" i="1"/>
  <c r="N53" i="1"/>
  <c r="L53" i="1"/>
  <c r="Q52" i="1"/>
  <c r="P52" i="1"/>
  <c r="O52" i="1"/>
  <c r="N52" i="1"/>
  <c r="L52" i="1"/>
  <c r="Q51" i="1"/>
  <c r="P51" i="1"/>
  <c r="O51" i="1"/>
  <c r="N51" i="1"/>
  <c r="L51" i="1"/>
  <c r="Q50" i="1"/>
  <c r="P50" i="1"/>
  <c r="O50" i="1"/>
  <c r="N50" i="1"/>
  <c r="L50" i="1"/>
  <c r="Q49" i="1"/>
  <c r="P49" i="1"/>
  <c r="O49" i="1"/>
  <c r="N49" i="1"/>
  <c r="L49" i="1"/>
  <c r="Q48" i="1"/>
  <c r="P48" i="1"/>
  <c r="O48" i="1"/>
  <c r="N48" i="1"/>
  <c r="L48" i="1"/>
  <c r="Q47" i="1"/>
  <c r="P47" i="1"/>
  <c r="O47" i="1"/>
  <c r="N47" i="1"/>
  <c r="L47" i="1"/>
  <c r="Q46" i="1"/>
  <c r="P46" i="1"/>
  <c r="O46" i="1"/>
  <c r="N46" i="1"/>
  <c r="L46" i="1"/>
  <c r="Q45" i="1"/>
  <c r="P45" i="1"/>
  <c r="O45" i="1"/>
  <c r="N45" i="1"/>
  <c r="L45" i="1"/>
  <c r="Q44" i="1"/>
  <c r="P44" i="1"/>
  <c r="O44" i="1"/>
  <c r="N44" i="1"/>
  <c r="L44" i="1"/>
  <c r="Q43" i="1"/>
  <c r="P43" i="1"/>
  <c r="O43" i="1"/>
  <c r="N43" i="1"/>
  <c r="L43" i="1"/>
  <c r="Q42" i="1"/>
  <c r="P42" i="1"/>
  <c r="O42" i="1"/>
  <c r="N42" i="1"/>
  <c r="L42" i="1"/>
  <c r="Q41" i="1"/>
  <c r="P41" i="1"/>
  <c r="O41" i="1"/>
  <c r="N41" i="1"/>
  <c r="L41" i="1"/>
  <c r="Q40" i="1"/>
  <c r="P40" i="1"/>
  <c r="O40" i="1"/>
  <c r="N40" i="1"/>
  <c r="L40" i="1"/>
  <c r="Q39" i="1"/>
  <c r="P39" i="1"/>
  <c r="D3" i="3" s="1"/>
  <c r="O39" i="1"/>
  <c r="C3" i="3" s="1"/>
  <c r="N39" i="1"/>
  <c r="L39" i="1"/>
  <c r="Q38" i="1"/>
  <c r="P38" i="1"/>
  <c r="O38" i="1"/>
  <c r="N38" i="1"/>
  <c r="L38" i="1"/>
  <c r="Q37" i="1"/>
  <c r="P37" i="1"/>
  <c r="O37" i="1"/>
  <c r="N37" i="1"/>
  <c r="L37" i="1"/>
  <c r="Q36" i="1"/>
  <c r="P36" i="1"/>
  <c r="O36" i="1"/>
  <c r="N36" i="1"/>
  <c r="L36" i="1"/>
  <c r="Q35" i="1"/>
  <c r="P35" i="1"/>
  <c r="O35" i="1"/>
  <c r="N35" i="1"/>
  <c r="L35" i="1"/>
  <c r="Q34" i="1"/>
  <c r="P34" i="1"/>
  <c r="O34" i="1"/>
  <c r="N34" i="1"/>
  <c r="L34" i="1"/>
  <c r="Q33" i="1"/>
  <c r="P33" i="1"/>
  <c r="O33" i="1"/>
  <c r="N33" i="1"/>
  <c r="L33" i="1"/>
  <c r="Q32" i="1"/>
  <c r="P32" i="1"/>
  <c r="O32" i="1"/>
  <c r="N32" i="1"/>
  <c r="L32" i="1"/>
  <c r="Q31" i="1"/>
  <c r="P31" i="1"/>
  <c r="O31" i="1"/>
  <c r="N31" i="1"/>
  <c r="L31" i="1"/>
  <c r="Q30" i="1"/>
  <c r="P30" i="1"/>
  <c r="O30" i="1"/>
  <c r="N30" i="1"/>
  <c r="L30" i="1"/>
  <c r="Q29" i="1"/>
  <c r="P29" i="1"/>
  <c r="O29" i="1"/>
  <c r="N29" i="1"/>
  <c r="L29" i="1"/>
  <c r="Q28" i="1"/>
  <c r="P28" i="1"/>
  <c r="O28" i="1"/>
  <c r="N28" i="1"/>
  <c r="L28" i="1"/>
  <c r="Q27" i="1"/>
  <c r="P27" i="1"/>
  <c r="O27" i="1"/>
  <c r="N27" i="1"/>
  <c r="L27" i="1"/>
  <c r="Q26" i="1"/>
  <c r="P26" i="1"/>
  <c r="O26" i="1"/>
  <c r="N26" i="1"/>
  <c r="L26" i="1"/>
  <c r="Q25" i="1"/>
  <c r="P25" i="1"/>
  <c r="O25" i="1"/>
  <c r="N25" i="1"/>
  <c r="L25" i="1"/>
  <c r="Q24" i="1"/>
  <c r="P24" i="1"/>
  <c r="O24" i="1"/>
  <c r="N24" i="1"/>
  <c r="L24" i="1"/>
  <c r="Q23" i="1"/>
  <c r="P23" i="1"/>
  <c r="O23" i="1"/>
  <c r="N23" i="1"/>
  <c r="L23" i="1"/>
  <c r="Q22" i="1"/>
  <c r="P22" i="1"/>
  <c r="O22" i="1"/>
  <c r="N22" i="1"/>
  <c r="L22" i="1"/>
  <c r="Q21" i="1"/>
  <c r="P21" i="1"/>
  <c r="O21" i="1"/>
  <c r="N21" i="1"/>
  <c r="L21" i="1"/>
  <c r="Q20" i="1"/>
  <c r="P20" i="1"/>
  <c r="O20" i="1"/>
  <c r="N20" i="1"/>
  <c r="L20" i="1"/>
  <c r="Q19" i="1"/>
  <c r="P19" i="1"/>
  <c r="O19" i="1"/>
  <c r="N19" i="1"/>
  <c r="L19" i="1"/>
  <c r="Q18" i="1"/>
  <c r="P18" i="1"/>
  <c r="O18" i="1"/>
  <c r="N18" i="1"/>
  <c r="L18" i="1"/>
  <c r="Q17" i="1"/>
  <c r="P17" i="1"/>
  <c r="O17" i="1"/>
  <c r="N17" i="1"/>
  <c r="L17" i="1"/>
  <c r="Q16" i="1"/>
  <c r="P16" i="1"/>
  <c r="O16" i="1"/>
  <c r="N16" i="1"/>
  <c r="L16" i="1"/>
  <c r="Q15" i="1"/>
  <c r="P15" i="1"/>
  <c r="O15" i="1"/>
  <c r="N15" i="1"/>
  <c r="L15" i="1"/>
  <c r="Q14" i="1"/>
  <c r="P14" i="1"/>
  <c r="D2" i="3" s="1"/>
  <c r="O14" i="1"/>
  <c r="C2" i="3" s="1"/>
  <c r="N14" i="1"/>
  <c r="L14" i="1"/>
  <c r="Q13" i="1"/>
  <c r="P13" i="1"/>
  <c r="O13" i="1"/>
  <c r="N13" i="1"/>
  <c r="L13" i="1"/>
  <c r="Q12" i="1"/>
  <c r="P12" i="1"/>
  <c r="O12" i="1"/>
  <c r="N12" i="1"/>
  <c r="L12" i="1"/>
  <c r="Q11" i="1"/>
  <c r="P11" i="1"/>
  <c r="O11" i="1"/>
  <c r="N11" i="1"/>
  <c r="L11" i="1"/>
  <c r="Q10" i="1"/>
  <c r="P10" i="1"/>
  <c r="O10" i="1"/>
  <c r="N10" i="1"/>
  <c r="L10" i="1"/>
  <c r="Q9" i="1"/>
  <c r="P9" i="1"/>
  <c r="B3" i="5" s="1"/>
  <c r="O9" i="1"/>
  <c r="N9" i="1"/>
  <c r="L9" i="1"/>
  <c r="Q8" i="1"/>
  <c r="P8" i="1"/>
  <c r="O8" i="1"/>
  <c r="N8" i="1"/>
  <c r="L8" i="1"/>
  <c r="Q7" i="1"/>
  <c r="P7" i="1"/>
  <c r="O7" i="1"/>
  <c r="N7" i="1"/>
  <c r="L7" i="1"/>
  <c r="Q6" i="1"/>
  <c r="P6" i="1"/>
  <c r="O6" i="1"/>
  <c r="N6" i="1"/>
  <c r="L6" i="1"/>
  <c r="Q5" i="1"/>
  <c r="P5" i="1"/>
  <c r="O5" i="1"/>
  <c r="N5" i="1"/>
  <c r="L5" i="1"/>
  <c r="Q4" i="1"/>
  <c r="P4" i="1"/>
  <c r="O4" i="1"/>
  <c r="N4" i="1"/>
  <c r="L4" i="1"/>
  <c r="Q3" i="1"/>
  <c r="P3" i="1"/>
  <c r="O3" i="1"/>
  <c r="N3" i="1"/>
  <c r="L3" i="1"/>
  <c r="Q2" i="1"/>
  <c r="E31" i="7" s="1"/>
  <c r="P2" i="1"/>
  <c r="O2" i="1"/>
  <c r="N2" i="1"/>
  <c r="L2" i="1"/>
  <c r="F8" i="3" l="1"/>
  <c r="E8" i="3"/>
  <c r="D16" i="7"/>
  <c r="D11" i="7"/>
  <c r="E3" i="3"/>
  <c r="F3" i="3"/>
  <c r="D14" i="7"/>
  <c r="F6" i="3"/>
  <c r="E6" i="3"/>
  <c r="D10" i="7"/>
  <c r="F2" i="3"/>
  <c r="E2" i="3"/>
  <c r="B5" i="5"/>
  <c r="B4" i="5"/>
  <c r="B4" i="7" s="1"/>
  <c r="E4" i="3"/>
  <c r="F4" i="3"/>
  <c r="D12" i="7"/>
  <c r="F7" i="3"/>
  <c r="E7" i="3"/>
  <c r="D15" i="7"/>
  <c r="E5" i="3"/>
  <c r="F5" i="3"/>
  <c r="C29" i="7"/>
  <c r="D29" i="7" s="1"/>
  <c r="E29" i="7"/>
  <c r="C30" i="7"/>
  <c r="D30" i="7" s="1"/>
  <c r="E30" i="7"/>
  <c r="C31" i="7"/>
  <c r="D31" i="7" s="1"/>
  <c r="C12" i="7" l="1"/>
  <c r="C4" i="4"/>
  <c r="E22" i="7"/>
  <c r="B22" i="7"/>
  <c r="E12" i="7"/>
  <c r="D22" i="7"/>
  <c r="E14" i="7"/>
  <c r="E24" i="7"/>
  <c r="C14" i="7"/>
  <c r="D24" i="7"/>
  <c r="B24" i="7"/>
  <c r="C6" i="4"/>
  <c r="E21" i="7"/>
  <c r="D21" i="7"/>
  <c r="E11" i="7"/>
  <c r="B21" i="7"/>
  <c r="C11" i="7"/>
  <c r="C3" i="4"/>
  <c r="C5" i="4"/>
  <c r="E23" i="7"/>
  <c r="E13" i="7"/>
  <c r="D23" i="7"/>
  <c r="C13" i="7"/>
  <c r="B23" i="7"/>
  <c r="B11" i="7"/>
  <c r="B3" i="4"/>
  <c r="B8" i="4"/>
  <c r="B16" i="7"/>
  <c r="B12" i="7"/>
  <c r="B4" i="4"/>
  <c r="B6" i="5"/>
  <c r="B6" i="7" s="1"/>
  <c r="B5" i="7"/>
  <c r="B10" i="7"/>
  <c r="B2" i="4"/>
  <c r="E20" i="7"/>
  <c r="D20" i="7"/>
  <c r="C10" i="7"/>
  <c r="B20" i="7"/>
  <c r="E10" i="7"/>
  <c r="C2" i="4"/>
  <c r="B6" i="4"/>
  <c r="B14" i="7"/>
  <c r="B5" i="4"/>
  <c r="B13" i="7"/>
  <c r="B15" i="7"/>
  <c r="B7" i="4"/>
  <c r="E25" i="7"/>
  <c r="D25" i="7"/>
  <c r="B25" i="7"/>
  <c r="C15" i="7"/>
  <c r="E15" i="7"/>
  <c r="C7" i="4"/>
  <c r="E16" i="7"/>
  <c r="C8" i="4"/>
  <c r="C16" i="7"/>
  <c r="E26" i="7"/>
  <c r="D26" i="7"/>
  <c r="B26" i="7"/>
</calcChain>
</file>

<file path=xl/sharedStrings.xml><?xml version="1.0" encoding="utf-8"?>
<sst xmlns="http://schemas.openxmlformats.org/spreadsheetml/2006/main" count="2688" uniqueCount="1409">
  <si>
    <t>Question_id</t>
  </si>
  <si>
    <t>Dimension</t>
  </si>
  <si>
    <t>Question_text</t>
  </si>
  <si>
    <t>Answer_options_1</t>
  </si>
  <si>
    <t>Answer_options_2</t>
  </si>
  <si>
    <t>Answer_options_3</t>
  </si>
  <si>
    <t>Answertype</t>
  </si>
  <si>
    <t xml:space="preserve">Scoring_rule </t>
  </si>
  <si>
    <t>Retrieval_query</t>
  </si>
  <si>
    <t>Evidence_expectation</t>
  </si>
  <si>
    <t>Weight</t>
  </si>
  <si>
    <t>Score numeric</t>
  </si>
  <si>
    <t>Selected_option</t>
  </si>
  <si>
    <t>Points</t>
  </si>
  <si>
    <t>Weighted_points</t>
  </si>
  <si>
    <t>Max_points</t>
  </si>
  <si>
    <t>Normalized_0_5</t>
  </si>
  <si>
    <t>EU_AI_ACT</t>
  </si>
  <si>
    <t>NIST_AI_RMF</t>
  </si>
  <si>
    <t>ISO_42001</t>
  </si>
  <si>
    <t>AI_TRISM</t>
  </si>
  <si>
    <t>Data Readiness</t>
  </si>
  <si>
    <t>Is data available and accessible for AI initiatives?</t>
  </si>
  <si>
    <t>Data needed for AI initiatives is scattered across systems, difficult to locate, and often requires manual extraction or individual access requests. There is no clear ownership, catalog, or standardized way to make datasets available for reuse.</t>
  </si>
  <si>
    <t>Key datasets for AI initiatives can be accessed, but availability depends on specific teams, projects, or technical specialists. Some documentation or data pipelines exist, yet access is not consistently standardized across the organization and reuse remains limited.</t>
  </si>
  <si>
    <t>Relevant data for AI initiatives is discoverable, documented, and accessible through standardized mechanisms such as data catalogs, governed pipelines, or self-service platforms. Ownership, access controls, and data provisioning processes are clearly defined to support scalable AI development.</t>
  </si>
  <si>
    <t>single_choice</t>
  </si>
  <si>
    <t>1-&gt;1, 2-&gt;3, 3-&gt;5</t>
  </si>
  <si>
    <t>YES</t>
  </si>
  <si>
    <t>Are fairness metrics systematically evaluated when assessing AI model performance across different groups or populations?</t>
  </si>
  <si>
    <t>Model performance evaluation relies solely on traditional accuracy metrics, neglecting the measurement of fairness across protected groups or sub-populations.</t>
  </si>
  <si>
    <t>Data scientists are aware of fairness metrics and occasionally apply them, but their use is not standardized, documented, or integrated into the formal model acceptance criteria.</t>
  </si>
  <si>
    <t>Standardized fairness metrics (e.g., equal opportunity, demographic parity) are systematically applied, tracked, and reported as a mandatory component of the model development and deployment process.</t>
  </si>
  <si>
    <t>1-&gt;1, 2-&gt;3, 3-&gt;6</t>
  </si>
  <si>
    <t>Does data coverage span across business processes?</t>
  </si>
  <si>
    <t>Data coverage is fragmented and limited to a small number of operational systems or departments, meaning many business processes lack sufficient data to support meaningful AI analysis or model development.</t>
  </si>
  <si>
    <t>Data coverage includes several key business processes, enabling some AI use cases, but important parts of the value chain remain poorly represented or require significant manual integration across systems.</t>
  </si>
  <si>
    <t>Data coverage spans the majority of critical business processes, with integrated datasets providing consistent, end-to-end visibility across the value chain to support scalable and reliable AI development.
If you want, I can also help you standardize all answer sets so they consistently follow the same maturity pattern (which makes your assessment much stronger and easier to score).</t>
  </si>
  <si>
    <t>1-&gt;1, 2-&gt;3, 3-&gt;7</t>
  </si>
  <si>
    <t>Is data quality complete and accurate?</t>
  </si>
  <si>
    <t>This is not in place; practices are ad hoc and rely on manual workarounds in isolated teams.</t>
  </si>
  <si>
    <t>Data quality complete and accurate exists for some key datasets or processes, but it is inconsistent across teams and not fully documented or standardized.</t>
  </si>
  <si>
    <t>This is implemented enterprise-wide with clear ownership, standards, and automation where possible, enabling consistent and scalable AI use.</t>
  </si>
  <si>
    <t>1-&gt;1, 2-&gt;3, 3-&gt;8</t>
  </si>
  <si>
    <t>Is data consistent across systems?</t>
  </si>
  <si>
    <t>Data consistent across systems exists for some key datasets or processes, but it is inconsistent across teams and not fully documented or standardized.</t>
  </si>
  <si>
    <t>1-&gt;1, 2-&gt;3, 3-&gt;9</t>
  </si>
  <si>
    <t>Are AI model inputs, outputs, and decisions systematically logged to ensure traceability and auditability?</t>
  </si>
  <si>
    <t>Model predictions and the data used to generate them are not systematically logged, making it impossible to trace an AI decision back to its input or version.</t>
  </si>
  <si>
    <t>Some basic logging of model inputs and outputs is implemented in production systems, but it lacks versioning and comprehensive metadata required for a full forensic analysis.</t>
  </si>
  <si>
    <t>A robust, comprehensive audit trail is maintained for every AI decision, meticulously logging the model version, input features, prediction, and associated confidence scores for regulatory compliance and debugging.</t>
  </si>
  <si>
    <t>1-&gt;1, 2-&gt;3, 3-&gt;10</t>
  </si>
  <si>
    <t>Is data up to date and updated frequently?</t>
  </si>
  <si>
    <t>Data is updated infrequently or with significant delays, meaning AI models often rely on outdated information that reduces the reliability and relevance of predictions or insights.</t>
  </si>
  <si>
    <t>Some datasets are updated regularly and support certain AI use cases, but refresh cycles vary across systems and processes, leading to inconsistent data timeliness.</t>
  </si>
  <si>
    <t>Data pipelines ensure datasets are updated consistently and at the frequency required for the use case, with automated refresh mechanisms enabling near real-time or regularly scheduled updates for AI models.</t>
  </si>
  <si>
    <t>1-&gt;1, 2-&gt;3, 3-&gt;11</t>
  </si>
  <si>
    <t>Is there a process for cleaning and enriching raw data?</t>
  </si>
  <si>
    <t>Activities are largely ad‑hoc and depend on individual initiative rather than defined processes.</t>
  </si>
  <si>
    <t>Some processes exist but implementation varies between teams and projects.</t>
  </si>
  <si>
    <t>Processes are clearly defined, consistently applied, and supported by governance and tooling.</t>
  </si>
  <si>
    <t>1-&gt;1, 2-&gt;3, 3-&gt;12</t>
  </si>
  <si>
    <t>Are metadata and data lineage tracked and documented consistently?</t>
  </si>
  <si>
    <t>Critical context regarding data origin, transformations, and definitions is missing or scattered, leading to confusion, distrust, and inefficient data exploration by AI teams.</t>
  </si>
  <si>
    <t>Basic metadata (e.g., column names, descriptions) is captured in some systems, but comprehensive, automated data lineage tracing from source to model is not yet established.</t>
  </si>
  <si>
    <t>Comprehensive metadata and data lineage are systematically tracked and documented using automated tools, providing complete transparency into the origin and transformation history of all data assets.</t>
  </si>
  <si>
    <t>1-&gt;1, 2-&gt;3, 3-&gt;13</t>
  </si>
  <si>
    <t>Are data privacy and compliance policies applied consistently?</t>
  </si>
  <si>
    <t>Compliance with regulations (e.g., GDPR, HIPAA) is left to individual teams, resulting in inconsistent application of masking, encryption, and access controls across data environments.</t>
  </si>
  <si>
    <t>Formal privacy policies are documented, and initial masking or anonymization is applied to sensitive data in central locations, but enforcement lacks full automation and enterprise-wide reach.</t>
  </si>
  <si>
    <t>Robust data privacy and compliance policies are consistently and automatically enforced across all data platforms, ensuring all AI projects adhere to regulatory requirements through automated controls.</t>
  </si>
  <si>
    <t>1-&gt;1, 2-&gt;3, 3-&gt;14</t>
  </si>
  <si>
    <t>Are access and permissions properly managed?</t>
  </si>
  <si>
    <t>Data access is either overly permissive or managed through slow, manual request processes, creating significant security risks or causing major delays for AI development teams.</t>
  </si>
  <si>
    <t>Role-based access controls (RBAC) are defined for production systems, but their implementation for self-service AI development and sandbox environments remains inconsistent and manual.</t>
  </si>
  <si>
    <t>Granular, role-based access controls and permissions are properly managed and automated through centralized tools, ensuring secure, timely access for authorized users without hindering AI development velocity.</t>
  </si>
  <si>
    <t>1-&gt;1, 2-&gt;3, 3-&gt;15</t>
  </si>
  <si>
    <t>Is data volume and frequency sufficient?</t>
  </si>
  <si>
    <t>The quantity of historical data or the frequency of new data generation is too low to effectively train robust and generalizable deep learning or time-sensitive operational AI models.</t>
  </si>
  <si>
    <t>Data volume is sufficient for standard machine learning, but highly specialized or large-scale deep learning initiatives still encounter constraints on historical depth or real-time velocity.</t>
  </si>
  <si>
    <t>Data volume and update frequency are fully sufficient to support all planned AI initiatives, enabling the training of large-scale models and near-real-time operational deployments.</t>
  </si>
  <si>
    <t>1-&gt;1, 2-&gt;3, 3-&gt;16</t>
  </si>
  <si>
    <t>Is there adequate data retention history?</t>
  </si>
  <si>
    <t>Historical data is aggressively purged or archived, meaning models cannot be trained on sufficient long-term data to capture seasonality, trends, or rare events accurately.</t>
  </si>
  <si>
    <t>A formal data retention policy is drafted, but enforcement is inconsistent, and historical data for several key systems is below the desired period required for robust time-series modeling.</t>
  </si>
  <si>
    <t>Adequate data retention policies are strictly followed, ensuring sufficient historical data depth is available for robust time-series analysis, trend modeling, and long-term model monitoring.</t>
  </si>
  <si>
    <t>1-&gt;1, 2-&gt;3, 3-&gt;17</t>
  </si>
  <si>
    <t>Is there noise and redundancy in the data?</t>
  </si>
  <si>
    <t>Data contains significant noise, duplicates, and irrelevant features that require immense pre-processing effort and actively impede AI model performance and stability.</t>
  </si>
  <si>
    <t>Some data quality issues are identified; basic deduplication and standard cleaning processes are being implemented as part of the initial data engineering pipelines.</t>
  </si>
  <si>
    <t>Data is regularly cleaned and validated; noise and redundancy are systematically identified and removed through automated feature engineering and quality control processes.</t>
  </si>
  <si>
    <t>1-&gt;1, 2-&gt;3, 3-&gt;18</t>
  </si>
  <si>
    <t>Is the data biased or representative?</t>
  </si>
  <si>
    <t>The training data contains significant systemic biases (e.g., underrepresentation of specific customer segments), leading to AI models that will exhibit unfair or discriminatory outcomes.</t>
  </si>
  <si>
    <t>Initial data assessments have highlighted potential biases in certain features or historical outcomes, and mitigation strategies like re-sampling are being explored and piloted.</t>
  </si>
  <si>
    <t>The data is systematically assessed for bias and is actively managed to be statistically representative of the target population and use case, ensuring fair and equitable model outcomes.</t>
  </si>
  <si>
    <t>1-&gt;1, 2-&gt;3, 3-&gt;19</t>
  </si>
  <si>
    <t>Is label quality sufficient for supervised learning?</t>
  </si>
  <si>
    <t>Labels for supervised learning are not available highly inconsistent, noisy, or incorrectly applied, significantly limiting the model's ability to achieve high accuracy and generalization.</t>
  </si>
  <si>
    <t>Labeling is primarily done by subject matter experts with some basic spot-checking, but formal quality control and inter-rater agreement processes are not yet standard practice.</t>
  </si>
  <si>
    <t>A high standard of label quality is maintained through rigorous review, multiple expert annotations, and formal quality control processes (e.g., inter-rater reliability) for all training data sets.</t>
  </si>
  <si>
    <t>1-&gt;1, 2-&gt;3, 3-&gt;20</t>
  </si>
  <si>
    <t>Is there feature richness and granularity in the data?</t>
  </si>
  <si>
    <t>The available data is highly aggregated or lacks detailed attributes (features), preventing the AI models from capturing complex patterns or generating highly precise predictions.</t>
  </si>
  <si>
    <t>Core transactional data is available at a granular level, but enrichment with external or unstructured data sources to create rich features is performed only on select, high-priority projects.</t>
  </si>
  <si>
    <t>The data exhibits high feature richness and granularity, incorporating both core and enriched features that enable models to capture subtle, complex patterns for superior predictive power.</t>
  </si>
  <si>
    <t>1-&gt;1, 2-&gt;3, 3-&gt;21</t>
  </si>
  <si>
    <t>Is there historical consistency in the data?</t>
  </si>
  <si>
    <t>Data schema, definitions, or collection methods have changed frequently over time, making older historical data incompatible or unreliable for training long-term AI models.</t>
  </si>
  <si>
    <t>Data conversion and harmonization are manually performed for large historical datasets when required, but there is no automated system to enforce schema consistency across time.</t>
  </si>
  <si>
    <t>Historical consistency is maintained through robust data versioning, schema evolution management, and standardized data collection protocols, ensuring all historical data is reliable and usable for training.</t>
  </si>
  <si>
    <t>1-&gt;1, 2-&gt;3, 3-&gt;22</t>
  </si>
  <si>
    <t>Does the organization have data integration capability?</t>
  </si>
  <si>
    <t>The organization relies on point-to-point integrations and manual data transfers, making it difficult and slow to combine data from disparate sources into unified AI training datasets.</t>
  </si>
  <si>
    <t>An enterprise data integration tool is being implemented, and initial APIs are being developed for key systems, but full, centralized data orchestration capabilities are not yet mature.</t>
  </si>
  <si>
    <t>A robust, centralized data integration capability (e.g., automated ETL/ELT pipelines, service bus) is fully in place, enabling fast and reliable data orchestration for all AI projects.</t>
  </si>
  <si>
    <t>1-&gt;1, 2-&gt;3, 3-&gt;23</t>
  </si>
  <si>
    <t>Are training, validation, and test datasets clearly separated and documented?</t>
  </si>
  <si>
    <t>Datasets are reused without clear separation, making evaluation unreliable.</t>
  </si>
  <si>
    <t>Basic separation exists but documentation is incomplete or inconsistently applied.</t>
  </si>
  <si>
    <t>Datasets are systematically separated, versioned, and documented to ensure reliable evaluation and reproducibility.</t>
  </si>
  <si>
    <t>1-&gt;1, 2-&gt;3, 3-&gt;24</t>
  </si>
  <si>
    <t>Is dataset versioning implemented to reproduce model results?</t>
  </si>
  <si>
    <t>No dataset versioning; historical training data cannot be reconstructed.</t>
  </si>
  <si>
    <t>Partial versioning exists but is manual or limited to critical projects.</t>
  </si>
  <si>
    <t>Automated dataset versioning allows full reproducibility of training, evaluation, and deployment.</t>
  </si>
  <si>
    <t>1-&gt;1, 2-&gt;3, 3-&gt;25</t>
  </si>
  <si>
    <t>Is data documentation sufficient to understand dataset origin, purpose, and limitations?</t>
  </si>
  <si>
    <t>Dataset origin and limitations are largely undocumented.</t>
  </si>
  <si>
    <t>Some documentation exists but is inconsistent across datasets.</t>
  </si>
  <si>
    <t>Standardized dataset documentation describes origin, purpose, bias risks, and limitations.</t>
  </si>
  <si>
    <t>1-&gt;1, 2-&gt;3, 3-&gt;26</t>
  </si>
  <si>
    <t>Are evaluation datasets representative of real-world deployment conditions?</t>
  </si>
  <si>
    <t>Evaluation data differs significantly from real-world usage scenarios.</t>
  </si>
  <si>
    <t>Some effort is made to approximate real conditions but gaps remain.</t>
  </si>
  <si>
    <t>Evaluation datasets reflect real-world distributions, edge cases, and risk scenarios.</t>
  </si>
  <si>
    <t>1-&gt;1, 2-&gt;3, 3-&gt;27</t>
  </si>
  <si>
    <t>Is feedback data captured to improve models after deployment?</t>
  </si>
  <si>
    <t>No structured feedback data is captured.</t>
  </si>
  <si>
    <t>Feedback is collected sporadically or manually.</t>
  </si>
  <si>
    <t>Systematic feedback loops capture outcomes, errors, and user signals for continuous improvement.</t>
  </si>
  <si>
    <t>1-&gt;1, 2-&gt;3, 3-&gt;28</t>
  </si>
  <si>
    <t>Are edge cases and rare scenarios included in datasets?</t>
  </si>
  <si>
    <t>Edge cases are largely missing or discovered only after failures.</t>
  </si>
  <si>
    <t>Some edge cases are included but not systematically identified.</t>
  </si>
  <si>
    <t>Edge cases are proactively identified, curated, and included in datasets.</t>
  </si>
  <si>
    <t>1-&gt;1, 2-&gt;3, 3-&gt;29</t>
  </si>
  <si>
    <t>Is data prepared to support explainability and audit requirements?</t>
  </si>
  <si>
    <t>Data structure limits explainability and traceability.</t>
  </si>
  <si>
    <t>Some features support explanation but coverage is incomplete.</t>
  </si>
  <si>
    <t>Data is structured to enable feature attribution, explainability, and audit.</t>
  </si>
  <si>
    <t>1-&gt;1, 2-&gt;3, 3-&gt;30</t>
  </si>
  <si>
    <t>Is feature engineering standardized and reusable across projects?</t>
  </si>
  <si>
    <t>Feature creation is ad-hoc and project specific.</t>
  </si>
  <si>
    <t>Some reusable features exist but are not centrally managed.</t>
  </si>
  <si>
    <t>A standardized feature framework enables reuse and controlled evolution.</t>
  </si>
  <si>
    <t>1-&gt;1, 2-&gt;3, 3-&gt;31</t>
  </si>
  <si>
    <t>Is data quality monitored automatically in pipelines?</t>
  </si>
  <si>
    <t>Data quality checks are manual or reactive.</t>
  </si>
  <si>
    <t>Basic automated checks exist for selected datasets.</t>
  </si>
  <si>
    <t>Automated monitoring detects anomalies, schema changes, and drift.</t>
  </si>
  <si>
    <t>1-&gt;1, 2-&gt;3, 3-&gt;32</t>
  </si>
  <si>
    <t>Is data readiness validated before model development starts?</t>
  </si>
  <si>
    <t>Model work begins without formal readiness validation.</t>
  </si>
  <si>
    <t>Readiness is assessed informally or inconsistently.</t>
  </si>
  <si>
    <t>A formal data readiness checklist gates model development.</t>
  </si>
  <si>
    <t>1-&gt;1, 2-&gt;3, 3-&gt;33</t>
  </si>
  <si>
    <t>Is external data evaluated for reliability and suitability before use?</t>
  </si>
  <si>
    <t>External data is used without structured validation.</t>
  </si>
  <si>
    <t>Basic validation is performed but not standardized.</t>
  </si>
  <si>
    <t>External data undergoes systematic evaluation for quality, bias, legal use, and relevance.</t>
  </si>
  <si>
    <t>1-&gt;1, 2-&gt;3, 3-&gt;34</t>
  </si>
  <si>
    <t>Is synthetic or augmented data used in a controlled way?</t>
  </si>
  <si>
    <t>Synthetic data usage is uncontrolled or undocumented.</t>
  </si>
  <si>
    <t>Synthetic data is used but governance and validation are limited.</t>
  </si>
  <si>
    <t>Synthetic data generation and validation follow defined standards.</t>
  </si>
  <si>
    <t>1-&gt;1, 2-&gt;3, 3-&gt;35</t>
  </si>
  <si>
    <t>Is dataset coverage sufficient across time, geography, and user groups?</t>
  </si>
  <si>
    <t>Data coverage gaps are unknown or significant.</t>
  </si>
  <si>
    <t>Some coverage analysis exists but is incomplete.</t>
  </si>
  <si>
    <t>Systematic coverage analysis ensures inclusion across segments and time periods.</t>
  </si>
  <si>
    <t>1-&gt;1, 2-&gt;3, 3-&gt;36</t>
  </si>
  <si>
    <t>Is annotation guidance documented to ensure labeling consistency?</t>
  </si>
  <si>
    <t>Labeling guidelines are absent or informal.</t>
  </si>
  <si>
    <t>Basic guidelines exist but are inconsistently followed.</t>
  </si>
  <si>
    <t>Detailed annotation protocols ensure consistent labeling.</t>
  </si>
  <si>
    <t>1-&gt;1, 2-&gt;3, 3-&gt;37</t>
  </si>
  <si>
    <t>Is data readiness evidence captured for impact assessments and regulatory review?</t>
  </si>
  <si>
    <t>Evidence is not stored or cannot be retrieved.</t>
  </si>
  <si>
    <t>Some evidence exists but is scattered.</t>
  </si>
  <si>
    <t>Data readiness evidence is centrally stored and reusable for regulatory reporting.</t>
  </si>
  <si>
    <t>1-&gt;1, 2-&gt;3, 3-&gt;38</t>
  </si>
  <si>
    <t>Are data silos limiting the ability to create integrated AI datasets?</t>
  </si>
  <si>
    <t>Data is fragmented across silos with limited visibility and integration.</t>
  </si>
  <si>
    <t>Some integration exists but requires manual effort.</t>
  </si>
  <si>
    <t>Data is discoverable and can be integrated efficiently across domains.</t>
  </si>
  <si>
    <t>1-&gt;1, 2-&gt;3, 3-&gt;39</t>
  </si>
  <si>
    <t>Is data discoverability sufficient to identify relevant datasets for AI initiatives?</t>
  </si>
  <si>
    <t>This is handled reactively with no standard process; issues are resolved ad hoc and lessons are not captured.</t>
  </si>
  <si>
    <t>This is handled through basic processes for critical systems, but practices are not consistently applied or measured.</t>
  </si>
  <si>
    <t>This is managed through standardized operational processes, metrics, and continuous improvement, integrated into day-to-day delivery.</t>
  </si>
  <si>
    <t>1-&gt;1, 2-&gt;3, 3-&gt;40</t>
  </si>
  <si>
    <t>Can datasets be reliably reconstructed from storage systems?</t>
  </si>
  <si>
    <t>Training datasets cannot be reliably recreated.</t>
  </si>
  <si>
    <t>Reconstruction is possible but manual or incomplete.</t>
  </si>
  <si>
    <t>Datasets can be reproducibly rebuilt using automated pipelines and lineage.</t>
  </si>
  <si>
    <t>1-&gt;1, 2-&gt;3, 3-&gt;41</t>
  </si>
  <si>
    <t>Operations, Culture &amp; Delivery</t>
  </si>
  <si>
    <t>Are frontline users involved in designing AI-enabled workflows?</t>
  </si>
  <si>
    <t>AI is largely disconnected from day-to-day operations; pilots do not change how work gets done.</t>
  </si>
  <si>
    <t>AI is used in a few workflows, but adoption is uneven and often dependent on local champions.</t>
  </si>
  <si>
    <t>AI is embedded in key workflows with clear ownership, training, and performance monitoring; adoption is managed like a product.</t>
  </si>
  <si>
    <t>1-&gt;1, 2-&gt;3, 3-&gt;42</t>
  </si>
  <si>
    <t>Is AI used to increase scalability and throughput of operations?</t>
  </si>
  <si>
    <t>1-&gt;1, 2-&gt;3, 3-&gt;43</t>
  </si>
  <si>
    <t>Are accountability and responsibilities updated for AI-supported processes?</t>
  </si>
  <si>
    <t>1-&gt;1, 2-&gt;3, 3-&gt;44</t>
  </si>
  <si>
    <t>Is it explicitly documented which processes are not appropriate for AI?</t>
  </si>
  <si>
    <t>No criteria exist for excluding AI from processes; suitability is decided informally.</t>
  </si>
  <si>
    <t>Some exclusions exist, but the rationale is inconsistent and not governed.</t>
  </si>
  <si>
    <t>Clear suitability criteria are defined; processes not fit for AI are explicitly excluded and revisited periodically.</t>
  </si>
  <si>
    <t>1-&gt;1, 2-&gt;3, 3-&gt;46</t>
  </si>
  <si>
    <t>Are fallback procedures defined for when AI fails in operations?</t>
  </si>
  <si>
    <t>No formal fallback procedures are defined for AI failures, meaning operational teams must respond ad hoc when systems produce incorrect outputs, become unavailable, or behave unexpectedly.</t>
  </si>
  <si>
    <t>Basic fallback procedures exist for some critical AI systems, such as switching to manual processes or predefined rules, but these procedures are not consistently documented, tested, or applied across all AI-driven operations.</t>
  </si>
  <si>
    <t>Comprehensive fallback procedures are formally defined, documented, and regularly tested for all operational AI systems, enabling automated or well-coordinated transitions to alternative processes, rule-based systems, or human oversight when failures occur.</t>
  </si>
  <si>
    <t>1-&gt;1, 2-&gt;3, 3-&gt;47</t>
  </si>
  <si>
    <t>Is it clear who remains accountable for decisions supported by AI?</t>
  </si>
  <si>
    <t>Accountability for AI-supported decisions is ambiguous, leading to gaps when issues occur.</t>
  </si>
  <si>
    <t>Accountability is defined for some processes, but not consistently across the organization.</t>
  </si>
  <si>
    <t>Business owners remain accountable for outcomes; responsibilities are clearly defined end-to-end for AI-supported decisions.</t>
  </si>
  <si>
    <t>1-&gt;1, 2-&gt;3, 3-&gt;48</t>
  </si>
  <si>
    <t>Are process outcomes compared before vs after AI implementation on an ongoing basis?</t>
  </si>
  <si>
    <t>1-&gt;1, 2-&gt;3, 3-&gt;49</t>
  </si>
  <si>
    <t>Is a human override (human-in-the-loop) formally enforced for critical processes?</t>
  </si>
  <si>
    <t>Human oversight is unclear; it’s ambiguous who can override AI outputs and when.</t>
  </si>
  <si>
    <t>Override is possible in some cases, but rules and accountability are inconsistent.</t>
  </si>
  <si>
    <t>Human-in-the-loop and override are clearly designed into workflows, with roles, thresholds, and audit trails.</t>
  </si>
  <si>
    <t>1-&gt;1, 2-&gt;3, 3-&gt;50</t>
  </si>
  <si>
    <t>Is there a culture of experimentation and rapid learning with AI?</t>
  </si>
  <si>
    <t>The culture is risk-averse; experimentation is discouraged and AI initiatives stall due to fear of failure.</t>
  </si>
  <si>
    <t>Some pockets experiment, but learning is not shared and leadership support is inconsistent.</t>
  </si>
  <si>
    <t>A learning culture is actively fostered; experimentation is encouraged with clear guardrails and rapid learning cycles.</t>
  </si>
  <si>
    <t>1-&gt;1, 2-&gt;3, 3-&gt;51</t>
  </si>
  <si>
    <t>Is data/AI trusted and used to inform everyday decisions?</t>
  </si>
  <si>
    <t>This is handled through basic processes for critical systems,</t>
  </si>
  <si>
    <t>This is managed through standardized operational processes, metrics,</t>
  </si>
  <si>
    <t>1-&gt;1, 2-&gt;3, 3-&gt;52</t>
  </si>
  <si>
    <t>Is data and AI systematically used to support everyday operational decisions?</t>
  </si>
  <si>
    <t>Data and AI are rarely used in day-to-day decision making, and most operational decisions continue to rely primarily on manual judgement or informal analysis.</t>
  </si>
  <si>
    <t>Data and AI are used to support decision making in some critical processes, but adoption remains limited to specific teams or use cases.</t>
  </si>
  <si>
    <t>Data and AI are systematically embedded into everyday operational decision making across key business processes.</t>
  </si>
  <si>
    <t>1-&gt;1, 2-&gt;3, 3-&gt;53</t>
  </si>
  <si>
    <t>Are fears and concerns about AI openly discussed and addressed?</t>
  </si>
  <si>
    <t>Resistance is unmanaged; AI is perceived as a threat and adoption is low.</t>
  </si>
  <si>
    <t>Concerns are acknowledged, but engagement and support are inconsistent.</t>
  </si>
  <si>
    <t>Concerns are actively addressed; psychological safety and transparent communication enable healthy adoption.</t>
  </si>
  <si>
    <t>1-&gt;1, 2-&gt;3, 3-&gt;56</t>
  </si>
  <si>
    <t>Is AI perceived as augmentation rather than a threat to people?</t>
  </si>
  <si>
    <t>1-&gt;1, 2-&gt;3, 3-&gt;57</t>
  </si>
  <si>
    <t>Is cross-functional collaboration the norm for AI initiatives?</t>
  </si>
  <si>
    <t>AI initiatives are typically developed within isolated teams such as data science or IT, with limited involvement from business stakeholders or other relevant functions.</t>
  </si>
  <si>
    <t>Some AI initiatives involve collaboration between business, data, and technology teams, but this cooperation depends on individual projects and is not consistently established across the organization.</t>
  </si>
  <si>
    <t>Cross-functional collaboration between business, data, technology, and governance teams is standard practice for AI initiatives, ensuring that solutions are aligned with operational needs, technical feasibility, and organizational objectives.</t>
  </si>
  <si>
    <t>1-&gt;1, 2-&gt;3, 3-&gt;58</t>
  </si>
  <si>
    <t>Are AI successes and learnings made visible across the organization?</t>
  </si>
  <si>
    <t>This is handled reactively with no standard process</t>
  </si>
  <si>
    <t>This is handled through basic processes</t>
  </si>
  <si>
    <t>This is managed through standardized operational processes</t>
  </si>
  <si>
    <t>1-&gt;1, 2-&gt;3, 3-&gt;59</t>
  </si>
  <si>
    <t>Are roles, responsibilities, and collaboration processes clearly defined for AI initiatives?</t>
  </si>
  <si>
    <t>Roles and responsibilities for AI initiatives are unclear, and collaboration between teams is largely informal.</t>
  </si>
  <si>
    <t>Basic roles and collaboration processes are defined for some AI initiatives, but they are not consistently applied across the organization.</t>
  </si>
  <si>
    <t>Roles, responsibilities, and collaboration processes for AI initiatives are clearly defined and consistently applied across the organization.</t>
  </si>
  <si>
    <t>1-&gt;1, 2-&gt;3, 3-&gt;60</t>
  </si>
  <si>
    <t>Is the effectiveness of AI initiatives monitored and continuously improved?</t>
  </si>
  <si>
    <t>The effectiveness of AI initiatives is rarely measured, and improvements are made only when issues arise.</t>
  </si>
  <si>
    <t>Some metrics exist to evaluate AI initiatives, but measurement and improvement remain inconsistent.</t>
  </si>
  <si>
    <t>Clear metrics are used to evaluate AI initiatives, and insights are systematically used to improve processes and outcomes.</t>
  </si>
  <si>
    <t>1-&gt;1, 2-&gt;3, 3-&gt;61</t>
  </si>
  <si>
    <t>Is there openness about AI limitations and mistakes (no 'black box' mystique)?</t>
  </si>
  <si>
    <t>AI limitations and mistakes are handled reactively with no standard process; issues are resolved ad hoc and lessons are not captured.</t>
  </si>
  <si>
    <t>AI limitations and mistakes are handled through basic processes for critical systems, but practices are not consistently applied or measured.</t>
  </si>
  <si>
    <t>AI limitations and mistakes is managed through standardized operational processes, metrics, and continuous improvement, integrated into day-to-day delivery.</t>
  </si>
  <si>
    <t>1-&gt;1, 2-&gt;3, 3-&gt;62</t>
  </si>
  <si>
    <t>Is change management applied consistently for AI adoption?</t>
  </si>
  <si>
    <t>No structured change approach exists; communication and training are late and inconsistent.</t>
  </si>
  <si>
    <t>Basic change activities exist for some initiatives, but are not repeatable.</t>
  </si>
  <si>
    <t>A mature change capability supports AI rollouts (stakeholder mapping, training, comms, measurement) across the portfolio.</t>
  </si>
  <si>
    <t>1-&gt;1, 2-&gt;3, 3-&gt;63</t>
  </si>
  <si>
    <t>Is AI linked to meaningful work and purpose (not only efficiency)?</t>
  </si>
  <si>
    <t>AI is framed purely as efficiency; broader purpose and impacts are not discussed.</t>
  </si>
  <si>
    <t>Purpose is occasionally mentioned, but not operationalized.</t>
  </si>
  <si>
    <t>AI is linked to purpose and societal impact where relevant, strengthening legitimacy and engagement.</t>
  </si>
  <si>
    <t>1-&gt;1, 2-&gt;3, 3-&gt;64</t>
  </si>
  <si>
    <t>Is it acceptable for employees to challenge AI-supported decisions and escalate concerns?</t>
  </si>
  <si>
    <t>People do not feel safe to challenge AI outputs or decisions.</t>
  </si>
  <si>
    <t>Some teams challenge AI outputs informally, but without consistent norms or processes.</t>
  </si>
  <si>
    <t>Challenging AI outputs is normalized; escalation and feedback loops are part of the operating model.</t>
  </si>
  <si>
    <t>1-&gt;1, 2-&gt;3, 3-&gt;65</t>
  </si>
  <si>
    <t>Are sentiments and resistance signals systematically measured (surveys, pulse checks)?</t>
  </si>
  <si>
    <t>1-&gt;1, 2-&gt;3, 3-&gt;66</t>
  </si>
  <si>
    <t>Is psychological safety explicitly fostered around AI mistakes and incidents?</t>
  </si>
  <si>
    <t>1-&gt;1, 2-&gt;3, 3-&gt;67</t>
  </si>
  <si>
    <t>Is decision quality (not only speed/efficiency) used as a success criterion for AI?</t>
  </si>
  <si>
    <t>Success is measured mainly in speed/efficiency, not decision quality or outcomes.</t>
  </si>
  <si>
    <t>Some quality metrics exist, but are not systematically used.</t>
  </si>
  <si>
    <t>Decision quality and outcomes are explicitly measured and improved using AI, alongside efficiency.</t>
  </si>
  <si>
    <t>1-&gt;1, 2-&gt;3, 3-&gt;68</t>
  </si>
  <si>
    <t>Is AI explicitly connected to societal/ethical impact in internal narratives and communications?</t>
  </si>
  <si>
    <t>1-&gt;1, 2-&gt;3, 3-&gt;69</t>
  </si>
  <si>
    <t>Is AI organized centrally, decentrally, or as a hybrid model with clear rationale?</t>
  </si>
  <si>
    <t>AI is organized inconsistently; teams duplicate work and standards are unclear.</t>
  </si>
  <si>
    <t>A hybrid setup is emerging, but roles, interfaces, and standards are still developing.</t>
  </si>
  <si>
    <t>A clear operating model exists (platform + domain teams), with defined decision rights, reuse, and collaboration mechanisms.</t>
  </si>
  <si>
    <t>1-&gt;1, 2-&gt;3, 3-&gt;70</t>
  </si>
  <si>
    <t>Is there effective alignment between business and IT on AI delivery?</t>
  </si>
  <si>
    <t>Functions work in silos; legal/risk engagement happens late.</t>
  </si>
  <si>
    <t>Cross-functional collaboration exists for some initiatives, but is not standard.</t>
  </si>
  <si>
    <t>Cross-functional collaboration is standard with early involvement of legal/risk/security in delivery and governance.</t>
  </si>
  <si>
    <t>1-&gt;1, 2-&gt;3, 3-&gt;71</t>
  </si>
  <si>
    <t>Are AI solutions and components reused across teams?</t>
  </si>
  <si>
    <t>Reuse is low; solutions are built repeatedly from scratch.</t>
  </si>
  <si>
    <t>Some reuse exists informally, but without incentives or standard components.</t>
  </si>
  <si>
    <t>Reuse is designed-in via shared components, standards, and a platform team; adoption is measured.</t>
  </si>
  <si>
    <t>1-&gt;1, 2-&gt;3, 3-&gt;72</t>
  </si>
  <si>
    <t>Are AI initiatives run as products (persistent teams) rather than one-off projects?</t>
  </si>
  <si>
    <t>AI is delivered as one-off projects with no post-launch ownership.</t>
  </si>
  <si>
    <t>Some product-like ownership exists, but funding and team stability are inconsistent.</t>
  </si>
  <si>
    <t>AI is operated as products with stable cross-functional teams owning outcomes end-to-end beyond go-live.</t>
  </si>
  <si>
    <t>1-&gt;1, 2-&gt;3, 3-&gt;73</t>
  </si>
  <si>
    <t>Are decision rights and escalation paths for AI clear across functions?</t>
  </si>
  <si>
    <t>Decision rights are unclear; approvals and escalations are inconsistent.</t>
  </si>
  <si>
    <t>Some RACI exists, but not consistently followed.</t>
  </si>
  <si>
    <t>Decision rights, RACI, and escalation paths are clear and followed, enabling fast and safe delivery.</t>
  </si>
  <si>
    <t>1-&gt;1, 2-&gt;3, 3-&gt;74</t>
  </si>
  <si>
    <t>Is cross-functional collaboration (legal, risk, IT, business) structurally embedded?</t>
  </si>
  <si>
    <t>This is not standard.</t>
  </si>
  <si>
    <t>1-&gt;1, 2-&gt;3, 3-&gt;75</t>
  </si>
  <si>
    <t>Are responsibilities and RACI for AI delivery defined?</t>
  </si>
  <si>
    <t>1-&gt;1, 2-&gt;3, 3-&gt;76</t>
  </si>
  <si>
    <t>Do AI teams have sufficient mandate and access to data/platform resources?</t>
  </si>
  <si>
    <t xml:space="preserve">Ai teams do not have sufficient mandate and access to data/platform </t>
  </si>
  <si>
    <t>1-&gt;1, 2-&gt;3, 3-&gt;77</t>
  </si>
  <si>
    <t>Is it defined which AI decisions are centralized vs decentralized (by risk/value)?</t>
  </si>
  <si>
    <t>1-&gt;1, 2-&gt;3, 3-&gt;78</t>
  </si>
  <si>
    <t>Is reuse of models/patterns governed (standards, catalogs, APIs) rather than ad hoc?</t>
  </si>
  <si>
    <t>1-&gt;1, 2-&gt;3, 3-&gt;79</t>
  </si>
  <si>
    <t>Is collaboration between Legal, Risk, IT and Business formalized (cadence, forums, SLAs)?</t>
  </si>
  <si>
    <t>1-&gt;1, 2-&gt;3, 3-&gt;80</t>
  </si>
  <si>
    <t>Are AI experiments designed and executed systematically (hypotheses, metrics, learnings)?</t>
  </si>
  <si>
    <t>Experiments are ad hoc with unclear hypotheses and little learning capture.</t>
  </si>
  <si>
    <t>Some experiments follow structure, but methods and documentation vary.</t>
  </si>
  <si>
    <t>Experimentation is systematic (hypotheses, measures, learnings), feeding a repeatable pipeline from idea to scale.</t>
  </si>
  <si>
    <t>1-&gt;1, 2-&gt;3, 3-&gt;81</t>
  </si>
  <si>
    <t>Are learnings from AI initiatives documented and shared across the organization?</t>
  </si>
  <si>
    <t>Learnings are not captured; teams repeat mistakes.</t>
  </si>
  <si>
    <t>Some learnings are shared informally, but not searchable or reusable.</t>
  </si>
  <si>
    <t>Learnings are captured and shared in a structured, searchable way, informing standards and future work.</t>
  </si>
  <si>
    <t>1-&gt;1, 2-&gt;3, 3-&gt;82</t>
  </si>
  <si>
    <t>Is there a clear pipeline from idea to pilot to scale (stage gates or equivalents)?</t>
  </si>
  <si>
    <t>1-&gt;1, 2-&gt;3, 3-&gt;83</t>
  </si>
  <si>
    <t>Is there dedicated budget/time for exploration and discovery work?</t>
  </si>
  <si>
    <t>Exploration and exploitation are mixed, leading to confusion and poor resource allocation.</t>
  </si>
  <si>
    <t>Some distinction exists, but governance and funding are not fully aligned.</t>
  </si>
  <si>
    <t>Exploration vs exploitation are explicitly separated with tailored governance, metrics, and funding models.</t>
  </si>
  <si>
    <t>1-&gt;1, 2-&gt;3, 3-&gt;84</t>
  </si>
  <si>
    <t>Does the organization collaborate with external AI partners when beneficial?</t>
  </si>
  <si>
    <t>The organization works mostly in isolation; partnerships are opportunistic and not aligned to AI needs.</t>
  </si>
  <si>
    <t>Some partnerships exist, but they are project-based and not systematically managed.</t>
  </si>
  <si>
    <t>A deliberate ecosystem strategy exists with partners (vendors, startups, academia) aligned to capability building and differentiation.</t>
  </si>
  <si>
    <t>1-&gt;1, 2-&gt;3, 3-&gt;85</t>
  </si>
  <si>
    <t>Are there mechanisms for continuous monitoring of AI models?</t>
  </si>
  <si>
    <t>Models are deployed and left unattended, with no automated processes to detect model drift, data quality degradation, or concept drift in the production environment.</t>
  </si>
  <si>
    <t>Basic technical monitoring (e.g., latency, uptime) is implemented, but specific checks for model performance degradation or data drift are not yet automated or systematic.</t>
  </si>
  <si>
    <t>Robust, automated mechanisms for continuous monitoring are in place, actively tracking model performance, data quality, and drift in production, with alerts and automated retraining triggers established.</t>
  </si>
  <si>
    <t>1-&gt;1, 2-&gt;3, 3-&gt;86</t>
  </si>
  <si>
    <t>Is there a clear policy on what AI knowledge can be shared vs must be protected (IP)?</t>
  </si>
  <si>
    <t>There is no policy on sharing vs protecting AI knowledge; risk of leakage or missed collaboration is high.</t>
  </si>
  <si>
    <t>Some practices exist, but are inconsistent.</t>
  </si>
  <si>
    <t>Clear policies balance knowledge sharing and IP protection, enabling collaboration while safeguarding competitive assets.</t>
  </si>
  <si>
    <t>1-&gt;1, 2-&gt;3, 3-&gt;87</t>
  </si>
  <si>
    <t>Are contractual exit options and data portability ensured with AI suppliers?</t>
  </si>
  <si>
    <t>Contracts lack AI-specific protections; exit, portability, and audit rights are missing.</t>
  </si>
  <si>
    <t>Some protections exist, but are inconsistent and not tested.</t>
  </si>
  <si>
    <t>Contracts include AI-specific clauses (portability, audit, data rights, SLAs) and exit plans are feasible and periodically reviewed.</t>
  </si>
  <si>
    <t>1-&gt;1, 2-&gt;3, 3-&gt;88</t>
  </si>
  <si>
    <t>Is participation in sector standards/initiatives considered to shape and anticipate AI requirements?</t>
  </si>
  <si>
    <t>The organization does not engage in sector standards or initiatives; it lags behind emerging norms.</t>
  </si>
  <si>
    <t>Some engagement exists, but it is limited and not strategic.</t>
  </si>
  <si>
    <t>The organization participates strategically in sector/standards initiatives to shape and anticipate requirements.</t>
  </si>
  <si>
    <t>1-&gt;1, 2-&gt;3, 3-&gt;89</t>
  </si>
  <si>
    <t>Does the organization have the agility to adopt AI?</t>
  </si>
  <si>
    <t>Rigid organizational silos, slow decision-making, and bureaucratic approval processes heavily impede the initiation and deployment of AI projects.</t>
  </si>
  <si>
    <t>Cross-functional project teams are being piloted, and some initial steps are being taken to streamline procurement and governance for pilot projects.</t>
  </si>
  <si>
    <t>The organization operates with high structural and operational agility, utilizing flexible funding, empowered teams, and rapid decision cycles to quickly adopt and scale AI solutions.</t>
  </si>
  <si>
    <t>1-&gt;1, 2-&gt;3, 3-&gt;90</t>
  </si>
  <si>
    <t>Does the organization have an AI incident reporting process?</t>
  </si>
  <si>
    <t>No formal process.</t>
  </si>
  <si>
    <t>Basic process exists.</t>
  </si>
  <si>
    <t>Formal incident reporting integrated with IT processes.</t>
  </si>
  <si>
    <t>1-&gt;1, 2-&gt;3, 3-&gt;91</t>
  </si>
  <si>
    <t>Are mitigation playbooks defined for AI risks (rollback, fallback, escalation)?</t>
  </si>
  <si>
    <t>No playbooks.</t>
  </si>
  <si>
    <t>Basic playbooks exist.</t>
  </si>
  <si>
    <t>Playbooks are defined and tested.</t>
  </si>
  <si>
    <t>1-&gt;1, 2-&gt;3, 3-&gt;92</t>
  </si>
  <si>
    <t>Is there a defined incident response process for AI system failures?</t>
  </si>
  <si>
    <t>There is no formal process to respond to AI incidents or failures.</t>
  </si>
  <si>
    <t>Basic response procedures exist but are not consistently applied.</t>
  </si>
  <si>
    <t>A defined AI incident response process exists and is used to manage failures and risks.</t>
  </si>
  <si>
    <t>1-&gt;1, 2-&gt;3, 3-&gt;93</t>
  </si>
  <si>
    <t>AI outcomes and lessons learned remain within individual teams, projects, or presentations and are not consistently communicated across the organization.</t>
  </si>
  <si>
    <t>Selected teams share AI results and lessons through occasional updates or communities, but visibility is uneven and reuse is limited.</t>
  </si>
  <si>
    <t>AI successes, failures, and lessons learned are systematically communicated through structured channels, making insights visible and reusable across the organization.</t>
  </si>
  <si>
    <t>1-&gt;1, 2-&gt;3, 3-&gt;94</t>
  </si>
  <si>
    <t>Ownership for AI work is unclear and collaboration depends largely on informal coordination between teams and individuals.</t>
  </si>
  <si>
    <t>Core roles and collaboration arrangements are defined for some initiatives, but they are not applied consistently across all AI work.</t>
  </si>
  <si>
    <t>Roles, responsibilities, and cross-functional collaboration processes are clearly defined, understood, and consistently applied across AI initiatives.</t>
  </si>
  <si>
    <t>1-&gt;1, 2-&gt;3, 3-&gt;95</t>
  </si>
  <si>
    <t>AI initiatives are rarely tracked against clear objectives, so improvement happens mainly in response to issues or stakeholder concerns.</t>
  </si>
  <si>
    <t>Some initiatives are reviewed against performance or adoption metrics, but follow-up actions are inconsistent and not embedded in a continuous improvement cycle.</t>
  </si>
  <si>
    <t>AI initiatives are monitored against defined success measures, and the resulting insights are systematically used to improve outcomes, processes, and adoption.</t>
  </si>
  <si>
    <t>1-&gt;1, 2-&gt;3, 3-&gt;96</t>
  </si>
  <si>
    <t>Are AI product teams funded as durable capabilities rather than temporary project budgets?</t>
  </si>
  <si>
    <t>AI teams rely mainly on temporary project or pilot funding, which interrupts continuity, ownership, and capability building.</t>
  </si>
  <si>
    <t>Some AI capacity has recurring support, but much of the work still depends on short-term approvals or case-by-case funding decisions.</t>
  </si>
  <si>
    <t>AI product teams are funded as enduring capabilities with stable ownership, recurring budgets, and room for ongoing development and operations.</t>
  </si>
  <si>
    <t>1-&gt;1, 2-&gt;3, 3-&gt;97</t>
  </si>
  <si>
    <t>Are escalation mechanisms across domains formalized for disputes and high-risk decisions?</t>
  </si>
  <si>
    <t>Escalation of cross-domain disputes or high-risk AI decisions happens informally, with unclear triggers and decision rights.</t>
  </si>
  <si>
    <t>Escalation routes exist for certain situations, but thresholds, timelines, and ownership are not consistently defined across functions.</t>
  </si>
  <si>
    <t>Formal escalation mechanisms define when issues must be raised, who decides, and how cross-domain disputes and high-risk decisions are resolved.</t>
  </si>
  <si>
    <t>1-&gt;1, 2-&gt;3, 3-&gt;98</t>
  </si>
  <si>
    <t>Is AI used to accelerate innovation cycles (time-to-insight, time-to-decision)?</t>
  </si>
  <si>
    <t>AI has not materially shortened the path from insight to decision, and most innovation cycles still depend on manual analysis and coordination.</t>
  </si>
  <si>
    <t>AI speeds up selected parts of the innovation process, but the gains are limited to certain teams or use cases and are not measured consistently.</t>
  </si>
  <si>
    <t>AI is deliberately used to accelerate insight generation and decision-making, with measurable improvements in innovation speed across relevant processes.</t>
  </si>
  <si>
    <t>1-&gt;1, 2-&gt;3, 3-&gt;99</t>
  </si>
  <si>
    <t>Is it defined when to stop experimenting and commit, or stop?</t>
  </si>
  <si>
    <t>Experiments continue or stop without agreed criteria, making it hard to decide when to scale, pivot, commit, or end an initiative.</t>
  </si>
  <si>
    <t>Some projects use decision criteria or stage gates, but they are not applied consistently and choices still depend heavily on individual judgment.</t>
  </si>
  <si>
    <t>Clear criteria define when experiments should be scaled, committed, revised, or stopped, enabling disciplined portfolio decisions.</t>
  </si>
  <si>
    <t>1-&gt;1, 2-&gt;3, 3-&gt;100</t>
  </si>
  <si>
    <t>Are lessons learned stored in a searchable knowledge base or pattern library?</t>
  </si>
  <si>
    <t>Lessons learned are stored in scattered files, meeting notes, or personal knowledge and are difficult for others to find or reuse.</t>
  </si>
  <si>
    <t>Some lessons are documented in shared folders or team spaces, but the information is incomplete, inconsistently tagged, and not easy to search.</t>
  </si>
  <si>
    <t>Lessons learned are captured in a searchable knowledge base or pattern library, making proven approaches and common pitfalls easy to reuse.</t>
  </si>
  <si>
    <t>1-&gt;1, 2-&gt;3, 3-&gt;101</t>
  </si>
  <si>
    <t>Does governance accelerate safe learning, or does it systematically slow innovation (measured)?</t>
  </si>
  <si>
    <t>The effect of governance on learning speed and safe experimentation is not measured, and governance is often experienced as a source of delay.</t>
  </si>
  <si>
    <t>Governance practices are being adjusted to support experimentation, but evidence on whether they improve both speed and safety is still limited.</t>
  </si>
  <si>
    <t>Governance is designed and measured to enable safe learning, balancing control with pace and showing how it supports effective innovation.</t>
  </si>
  <si>
    <t>1-&gt;1, 2-&gt;3, 3-&gt;102</t>
  </si>
  <si>
    <t>Are vendor dependencies and supply-chain risks understood for AI components?</t>
  </si>
  <si>
    <t>Key dependencies on external AI suppliers are not fully documented, leaving concentration, continuity, and resilience risks poorly understood.</t>
  </si>
  <si>
    <t>Important vendors and dependencies are identified for some solutions, but assessment of supply-chain and dependency risk is incomplete or inconsistent.</t>
  </si>
  <si>
    <t>Vendor dependencies and supply-chain risks for AI components are systematically mapped, assessed, and monitored as part of ongoing governance.</t>
  </si>
  <si>
    <t>1-&gt;1, 2-&gt;3, 3-&gt;103</t>
  </si>
  <si>
    <t>Is AI used as a differentiator in products/services and market positioning?</t>
  </si>
  <si>
    <t>AI is not yet used in a meaningful way to differentiate offerings or strengthen the organization's market position.</t>
  </si>
  <si>
    <t>AI contributes to differentiation in selected products, services, or messages, but it is not yet a clear and consistent element of market positioning.</t>
  </si>
  <si>
    <t>AI is deliberately embedded in products, services, and value propositions, and it clearly strengthens competitive differentiation and positioning.</t>
  </si>
  <si>
    <t>1-&gt;1, 2-&gt;3, 3-&gt;104</t>
  </si>
  <si>
    <t>Is AI explicitly used in employer branding and recruitment narratives?</t>
  </si>
  <si>
    <t>AI hardly features in employer branding or recruitment, so the organization does little to signal its ambitions or capabilities in this area.</t>
  </si>
  <si>
    <t>AI is mentioned in some hiring campaigns or recruitment materials, but the story is fragmented and not yet part of a broader talent proposition.</t>
  </si>
  <si>
    <t>AI is explicitly reflected in employer branding and recruitment narratives, helping attract talent by showing ambition, capability, and responsible use.</t>
  </si>
  <si>
    <t>1-&gt;1, 2-&gt;3, 3-&gt;105</t>
  </si>
  <si>
    <t>Is AI reputational risk assessed for customer-facing use cases and communications?</t>
  </si>
  <si>
    <t>Customer-facing AI use cases and communications are launched without a structured assessment of potential reputational impact.</t>
  </si>
  <si>
    <t>Reputational considerations are reviewed for some visible AI use cases, but the depth and consistency of the assessment vary.</t>
  </si>
  <si>
    <t>Reputational risk is systematically assessed for customer-facing AI use cases and communications before launch and as part of ongoing oversight.</t>
  </si>
  <si>
    <t>1-&gt;1, 2-&gt;3, 3-&gt;106</t>
  </si>
  <si>
    <t>1-&gt;1, 2-&gt;3, 3-&gt;107</t>
  </si>
  <si>
    <t>1-&gt;1, 2-&gt;3, 3-&gt;108</t>
  </si>
  <si>
    <t>Risk, Compliance &amp; Responsible AI</t>
  </si>
  <si>
    <t>Is bias testing conducted for AI models?</t>
  </si>
  <si>
    <t>Models are deployed based purely on performance metrics without any formal or systematic assessment for biased outcomes or unfair representation across different groups.</t>
  </si>
  <si>
    <t>Bias testing is performed ad-hoc or on a limited number of high-profile models using basic demographic data, with no standardized methodology across the organization.</t>
  </si>
  <si>
    <t>Mandatory, systematic bias testing is conducted for all production-bound AI models, utilizing established fairness metrics and methodologies to ensure equitable outcomes for all user groups.</t>
  </si>
  <si>
    <t>1-&gt;1, 2-&gt;3, 3-&gt;110</t>
  </si>
  <si>
    <t>Are fairness metrics applied to AI models?</t>
  </si>
  <si>
    <t>1-&gt;1, 2-&gt;3, 3-&gt;111</t>
  </si>
  <si>
    <t>Is there transparency and explainability in AI decision-making?</t>
  </si>
  <si>
    <t>Models are deployed as "black boxes," making it impossible for users, regulators, or internal stakeholders to understand the reasoning behind their predictions or decisions.</t>
  </si>
  <si>
    <t>Basic post-hoc explainability methods (e.g., feature importance) are used in some initial models, primarily for internal debugging, but not provided to end-users.</t>
  </si>
  <si>
    <t>Transparency and explainability are a core design requirement, utilizing appropriate XAI (Explainable AI) techniques to provide clear, actionable insights into model predictions for both technical staff and end-users.</t>
  </si>
  <si>
    <t>1-&gt;1, 2-&gt;3, 3-&gt;112</t>
  </si>
  <si>
    <t>Are ethical guidelines documented and applied in AI projects?</t>
  </si>
  <si>
    <t>AI projects proceed without any formal consideration for ethical implications, relying on the discretion of individual project members.</t>
  </si>
  <si>
    <t>A high-level set of ethical principles is published, but they lack concrete, actionable guidelines and are not consistently enforced in project implementation.</t>
  </si>
  <si>
    <t>Detailed ethical guidelines and standards are formally documented, consistently applied across the AI lifecycle, and regularly reviewed by a dedicated ethical oversight committee or board.</t>
  </si>
  <si>
    <t>1-&gt;1, 2-&gt;3, 3-&gt;113</t>
  </si>
  <si>
    <t>Is there an audit trail for AI decisions?</t>
  </si>
  <si>
    <t>1-&gt;1, 2-&gt;3, 3-&gt;114</t>
  </si>
  <si>
    <t>Are AI models evaluated against a human baseline?</t>
  </si>
  <si>
    <t>AI model performance is measured only against technical metrics (e.g., F1-score) without benchmarking against the performance or expertise of human operators or domain experts.</t>
  </si>
  <si>
    <t>Initial pilot models are qualitatively compared to human performance, but a rigorous, quantitative methodology for establishing and tracking the human baseline is missing.</t>
  </si>
  <si>
    <t>All critical AI models are rigorously evaluated and monitored against a clearly defined human baseline, ensuring the AI system meets or exceeds the necessary performance standard for reliable operation.</t>
  </si>
  <si>
    <t>1-&gt;1, 2-&gt;3, 3-&gt;115</t>
  </si>
  <si>
    <t>Are ethical guidelines for AI documented and operationalized?</t>
  </si>
  <si>
    <t>This is not formally addressed; controls and responsibilities are unclear and depend on individual judgement.</t>
  </si>
  <si>
    <t>Ethical guidelines for ai documented and operationalized is addressed for some initiatives with basic guidelines, but enforcement and documentation are inconsistent.</t>
  </si>
  <si>
    <t>Ethical guidelines for ai documented and operationalized is governed by formal policies, defined roles, and repeatable controls applied across the AI lifecycle with evidence and review.</t>
  </si>
  <si>
    <t>1-&gt;1, 2-&gt;3, 3-&gt;117</t>
  </si>
  <si>
    <t>Is privacy-by-design applied for AI systems and data usage?</t>
  </si>
  <si>
    <t>Privacy and compliance are handled ad hoc; evidence for compliance is hard to produce.</t>
  </si>
  <si>
    <t>Compliance checks exist for some initiatives, but documentation is incomplete.</t>
  </si>
  <si>
    <t>Compliance is built-in with privacy-by-design, documentation, and audit-ready evidence across the AI lifecycle.</t>
  </si>
  <si>
    <t>1-&gt;1, 2-&gt;3, 3-&gt;118</t>
  </si>
  <si>
    <t>Are bias and fairness risks assessed?</t>
  </si>
  <si>
    <t>Bias and fairness are not assessed; potential harms are unknown.</t>
  </si>
  <si>
    <t>Some bias checks exist, but are inconsistent and limited to certain models.</t>
  </si>
  <si>
    <t>Fairness is systematically tested and monitored with mitigation plans, especially for high-impact decisions.</t>
  </si>
  <si>
    <t>1-&gt;1, 2-&gt;3, 3-&gt;119</t>
  </si>
  <si>
    <t>Is explainability required and achieved for high-impact use cases?</t>
  </si>
  <si>
    <t>AI decisions are opaque; stakeholders cannot understand or challenge outcomes.</t>
  </si>
  <si>
    <t>Some explanations exist, but they are partial and not standardized.</t>
  </si>
  <si>
    <t>Transparency and explainability are ensured where required (users, regulators), supported by documentation and tooling.</t>
  </si>
  <si>
    <t>1-&gt;1, 2-&gt;3, 3-&gt;120</t>
  </si>
  <si>
    <t>Are AI risks classified by use case (risk tiers)?</t>
  </si>
  <si>
    <t>Risks are not catalogued; assessments happen late or only after incidents.</t>
  </si>
  <si>
    <t>Some risks are tracked for key initiatives, but not consistently across the portfolio.</t>
  </si>
  <si>
    <t>An AI risk register with risk-tiering exists across all use cases, informing approvals, controls, and monitoring.</t>
  </si>
  <si>
    <t>1-&gt;1, 2-&gt;3, 3-&gt;121</t>
  </si>
  <si>
    <t>Are incident response procedures defined for AI failures/breaches?</t>
  </si>
  <si>
    <t>No incident response exists for AI; failures are handled reactively and inconsistently.</t>
  </si>
  <si>
    <t>Some playbooks exist, but are not tested or consistently used.</t>
  </si>
  <si>
    <t>AI incidents are managed with defined playbooks, logging, escalation, and continuous improvement.</t>
  </si>
  <si>
    <t>1-&gt;1, 2-&gt;3, 3-&gt;123</t>
  </si>
  <si>
    <t>Can the organization provide external accountability where required (customers, regulators)?</t>
  </si>
  <si>
    <t>External accountability is not considered; the organization is unprepared to explain AI impacts.</t>
  </si>
  <si>
    <t>Some reporting exists for select cases, but it is inconsistent.</t>
  </si>
  <si>
    <t>The organization can demonstrate responsible AI to external stakeholders through clear documentation and reporting where needed.</t>
  </si>
  <si>
    <t>1-&gt;1, 2-&gt;3, 3-&gt;124</t>
  </si>
  <si>
    <t>Is there an AI risk register covering all AI systems, vendors, and major prompts?</t>
  </si>
  <si>
    <t>1-&gt;1, 2-&gt;3, 3-&gt;125</t>
  </si>
  <si>
    <t>Is it defined when external disclosure/reporting is required for AI use and incidents?</t>
  </si>
  <si>
    <t>1-&gt;1, 2-&gt;3, 3-&gt;126</t>
  </si>
  <si>
    <t>Is third-party AI risk managed (suppliers, APIs, model providers) with contractual controls?</t>
  </si>
  <si>
    <t>This is not assessed; supplier models and data use are largely unchecked.</t>
  </si>
  <si>
    <t>Some third-party assessments exist, but are not standardized.</t>
  </si>
  <si>
    <t>Third-party AI risk is systematically assessed (contracts, audits, controls) and monitored over time.</t>
  </si>
  <si>
    <t>1-&gt;1, 2-&gt;3, 3-&gt;127</t>
  </si>
  <si>
    <t>Is technical documentation maintained for AI systems to support auditability?</t>
  </si>
  <si>
    <t>Documentation is incomplete or scattered.</t>
  </si>
  <si>
    <t>Basic documentation exists but is not maintained.</t>
  </si>
  <si>
    <t>Comprehensive lifecycle documentation exists.</t>
  </si>
  <si>
    <t>1-&gt;1, 2-&gt;3, 3-&gt;128</t>
  </si>
  <si>
    <t>Are logging and traceability implemented so AI decisions can be reconstructed?</t>
  </si>
  <si>
    <t>Logging is minimal.</t>
  </si>
  <si>
    <t>Partial logging exists.</t>
  </si>
  <si>
    <t>Full traceability exists linking data, models and decisions.</t>
  </si>
  <si>
    <t>1-&gt;1, 2-&gt;3, 3-&gt;129</t>
  </si>
  <si>
    <t>Is human oversight defined for AI-supported decisions?</t>
  </si>
  <si>
    <t>Human oversight responsibilities for AI decisions are not defined.</t>
  </si>
  <si>
    <t>Some AI systems involve human review but roles are not clearly structured.</t>
  </si>
  <si>
    <t>Human oversight roles and escalation procedures are clearly defined for AI decisions.</t>
  </si>
  <si>
    <t>1-&gt;1, 2-&gt;3, 3-&gt;131</t>
  </si>
  <si>
    <t>Is documentation maintained for AI models and their intended use?</t>
  </si>
  <si>
    <t>AI models are poorly documented or documentation is incomplete.</t>
  </si>
  <si>
    <t>Basic documentation exists for some models but is inconsistent.</t>
  </si>
  <si>
    <t>Comprehensive documentation is maintained describing model purpose, data, and limitations.</t>
  </si>
  <si>
    <t>1-&gt;1, 2-&gt;3, 3-&gt;132</t>
  </si>
  <si>
    <t>Are third‑party AI vendors evaluated for risk and compliance?</t>
  </si>
  <si>
    <t>External AI vendors are selected without structured risk evaluation.</t>
  </si>
  <si>
    <t>Some risk checks are performed but vendor assessments are inconsistent.</t>
  </si>
  <si>
    <t>Formal processes evaluate third‑party AI vendors for risk, compliance, and reliability.</t>
  </si>
  <si>
    <t>1-&gt;1, 2-&gt;3, 3-&gt;133</t>
  </si>
  <si>
    <t>Is there oversight for AI use (approvals, reviews, audits) appropriate to risk?</t>
  </si>
  <si>
    <t>AI use receives little structured oversight, and approvals, reviews, or audits are not clearly aligned with risk.</t>
  </si>
  <si>
    <t>Some oversight exists for selected AI initiatives or higher-risk cases, but review processes are not consistently calibrated to risk level.</t>
  </si>
  <si>
    <t>Oversight of AI use is risk-based and proportionate, with clear approvals, reviews, and audit mechanisms matched to the level of risk.</t>
  </si>
  <si>
    <t>1-&gt;1, 2-&gt;3, 3-&gt;135</t>
  </si>
  <si>
    <t>Is liability and accountability for AI outcomes clearly defined?</t>
  </si>
  <si>
    <t>When AI causes an issue, accountability is unclear and ownership for outcomes is often disputed or fragmented.</t>
  </si>
  <si>
    <t>Accountability has been assigned for some AI use cases, but responsibilities are not consistently defined across the lifecycle.</t>
  </si>
  <si>
    <t>Liability and accountability for AI outcomes are clearly assigned, documented, and understood across business, technical, and governance roles.</t>
  </si>
  <si>
    <t>1-&gt;1, 2-&gt;3, 3-&gt;136</t>
  </si>
  <si>
    <t>Are risks assessed in terms of impact on people (harm scenarios), not only business impact?</t>
  </si>
  <si>
    <t>Risk assessments focus mainly on operational or business impact and do not consistently examine potential harm to people.</t>
  </si>
  <si>
    <t>Potential impacts on individuals or groups are considered in some assessments, but this is not yet a standard part of the risk approach.</t>
  </si>
  <si>
    <t>Risk assessments explicitly consider potential harm to people, including affected groups and realistic harm scenarios, alongside business impact.</t>
  </si>
  <si>
    <t>1-&gt;1, 2-&gt;3, 3-&gt;138</t>
  </si>
  <si>
    <t>Is AI integrated into Enterprise Risk Management (ERM) and internal audit planning?</t>
  </si>
  <si>
    <t>AI is largely absent from enterprise risk management and internal audit planning, so oversight depends on ad hoc attention.</t>
  </si>
  <si>
    <t>AI risks are beginning to appear in ERM or audit discussions, but coverage is partial and not yet embedded in routine planning.</t>
  </si>
  <si>
    <t>AI is integrated into enterprise risk management and internal audit planning through defined risk categories, reporting, and review cycles.</t>
  </si>
  <si>
    <t>1-&gt;1, 2-&gt;3, 3-&gt;139</t>
  </si>
  <si>
    <t>Skills &amp; Organizational Capability</t>
  </si>
  <si>
    <t>Is collaboration with External Experts in place?</t>
  </si>
  <si>
    <t>AI projects rely solely on internal knowledge, neglecting to leverage the specialized skills and cutting-edge research available from external subject matter experts.</t>
  </si>
  <si>
    <t>Ad-hoc consulting is occasionally used for highly specific problems, but there are no formal, standing relationships or knowledge transfer partnerships with external experts.</t>
  </si>
  <si>
    <t>Systematic collaboration with External Experts is standard practice, bringing in specialized knowledge, challenging internal assumptions, and accelerating the development of advanced AI capabilities.</t>
  </si>
  <si>
    <t>1-&gt;1, 2-&gt;3, 3-&gt;140</t>
  </si>
  <si>
    <t>Is internal Communities of Practice (CoPs) in place?</t>
  </si>
  <si>
    <t>Knowledge sharing is sporadic and informal; data scientists and engineers work in silos, leading to duplicated effort and inconsistent standards across projects.</t>
  </si>
  <si>
    <t>An internal mailing list or occasional, informal gatherings are held, but a structured, actively managed platform for consistent knowledge sharing and standardization is lacking.</t>
  </si>
  <si>
    <t>Vibrant and active internal Communities of Practice (CoPs) are formally sponsored, providing structured forums for knowledge sharing, standardizing best practices, and mentoring junior staff.</t>
  </si>
  <si>
    <t>1-&gt;1, 2-&gt;3, 3-&gt;141</t>
  </si>
  <si>
    <t>Does the organisation have skilled data scientists?</t>
  </si>
  <si>
    <t>The organization possesses few to no employees with formal training or experience in developing, testing, and deploying robust AI/ML models.</t>
  </si>
  <si>
    <t>A small, nascent team of data scientists exists, focused on initial proof-of-concept work, but they lack the depth of experience for scaling enterprise-grade solutions.</t>
  </si>
  <si>
    <t>The organization fields a well-staffed team of skilled data scientists with expertise in various modeling techniques, from research to production-ready solution design.</t>
  </si>
  <si>
    <t>1-&gt;1, 2-&gt;3, 3-&gt;142</t>
  </si>
  <si>
    <t>Does the organisation have skilled data engineers?</t>
  </si>
  <si>
    <t>There is a critical shortage of personnel skilled in building scalable data pipelines, managing data infrastructure, and ensuring data quality for AI projects.</t>
  </si>
  <si>
    <t>Data engineers are shared across multiple departments (e.g., BI), and while competent, they are often bottlenecked and lack dedicated bandwidth for AI pipeline needs.</t>
  </si>
  <si>
    <t>A dedicated and skilled team of data engineers is in place, specializing in building and maintaining the high-performance, scalable data infrastructure required for AI at scale.</t>
  </si>
  <si>
    <t>1-&gt;1, 2-&gt;3, 3-&gt;143</t>
  </si>
  <si>
    <t>Does the organisation have ML engineers?</t>
  </si>
  <si>
    <t>The gap between developing a model in a notebook and deploying it into a reliable production environment is vast, due to a complete absence of dedicated MLOps expertise.</t>
  </si>
  <si>
    <t>Data scientists occasionally handle deployment tasks, and the IT team provides basic hosting, but there is no dedicated role or expertise for industrializing ML models.</t>
  </si>
  <si>
    <t>Dedicated and experienced ML engineers are embedded in AI teams, responsible for building, testing, and maintaining robust, scalable, and automated MLOps pipelines.</t>
  </si>
  <si>
    <t>1-&gt;1, 2-&gt;3, 3-&gt;144</t>
  </si>
  <si>
    <t>Does the organisation have AI architects?</t>
  </si>
  <si>
    <t>AI solutions are designed without a standardized, scalable architecture, leading to fragmented, difficult-to-maintain, and non-reusable point solutions.</t>
  </si>
  <si>
    <t>Senior data scientists or IT architects occasionally fulfill the role, but a formal, experienced AI architecture function to guide enterprise-wide standards is missing.</t>
  </si>
  <si>
    <t>Expert AI architects are in place, defining and governing the reusable, scalable, and secure architecture standards for all AI services and platforms across the enterprise.</t>
  </si>
  <si>
    <t>1-&gt;1, 2-&gt;3, 3-&gt;145</t>
  </si>
  <si>
    <t>Is there cross-functional collaboration between technical and business staff?</t>
  </si>
  <si>
    <t>Technical teams (data science, engineering) work in isolation from the business units, leading to solutions that are technically sound but fail to address real-world business needs.</t>
  </si>
  <si>
    <t>Collaboration occurs primarily during initial requirements gathering, but continuous, iterative feedback loops between technical builders and business owners are inconsistent.</t>
  </si>
  <si>
    <t>Seamless, continuous cross-functional collaboration is a standard operating procedure, with product owners, business experts, and technical staff co-located and jointly accountable for AI project success.</t>
  </si>
  <si>
    <t>1-&gt;1, 2-&gt;3, 3-&gt;146</t>
  </si>
  <si>
    <t>Are there programs to upskill staff in AI literacy?</t>
  </si>
  <si>
    <t>Employees lack a basic understanding of AI concepts, leading to fear, skepticism, and an inability to identify potential AI use cases in their own work.</t>
  </si>
  <si>
    <t>Informal lunch-and-learns or optional online courses are available, but a mandatory, structured, and comprehensive program to build AI literacy across the organization is absent.</t>
  </si>
  <si>
    <t>Formal, structured programs are in place to upskill staff in AI literacy at all levels, enabling employees to become informed partners in identifying, adopting, and utilizing AI solutions.</t>
  </si>
  <si>
    <t>1-&gt;1, 2-&gt;3, 3-&gt;147</t>
  </si>
  <si>
    <t>Does the organisation invest in AI talent retention?</t>
  </si>
  <si>
    <t>High-performing AI professionals frequently leave due to uncompetitive compensation, lack of challenging projects, or limited career progression opportunities.</t>
  </si>
  <si>
    <t>Basic salary benchmarking is conducted, and some internal mobility is allowed, but there is no dedicated, robust strategy for creating a compelling career path for AI professionals.</t>
  </si>
  <si>
    <t>Significant, sustained investment is made in AI talent retention, offering competitive compensation, challenging projects, specialized training, and clear, accelerated career growth pathways.</t>
  </si>
  <si>
    <t>1-&gt;1, 2-&gt;3, 3-&gt;148</t>
  </si>
  <si>
    <t>Is there a change management strategy for AI adoption?</t>
  </si>
  <si>
    <t>AI models are deployed with little preparation for the end-users, leading to frustration, resistance, and a failure to integrate the new system into daily workflows.</t>
  </si>
  <si>
    <t>Basic communication plans are used to announce new AI rollouts, and limited documentation is provided, but user engagement and training are not formalized.</t>
  </si>
  <si>
    <t>A clear, proactive change management strategy is implemented for every AI project, focusing on user engagement, comprehensive training, and integration into existing business processes.</t>
  </si>
  <si>
    <t>1-&gt;1, 2-&gt;3, 3-&gt;149</t>
  </si>
  <si>
    <t>Are employees engaged in AI transformation?</t>
  </si>
  <si>
    <t>Employees view AI transformation as an initiative imposed by management, leading to apathy, lack of input, and passive resistance to process changes.</t>
  </si>
  <si>
    <t>A small number of power users or department heads are consulted for feedback, but the vast majority of employees are not actively involved in the AI journey.</t>
  </si>
  <si>
    <t>Employees at all levels are actively engaged in the AI transformation, contributing ideas, participating in testing, and acting as advocates for the adoption of new intelligent solutions.</t>
  </si>
  <si>
    <t>1-&gt;1, 2-&gt;3, 3-&gt;150</t>
  </si>
  <si>
    <t>Are incentives aligned with AI adoption goals?</t>
  </si>
  <si>
    <t>Employee performance metrics and compensation structures reward maintaining existing processes, creating a disincentive to experiment with or fully adopt new AI-driven workflows.</t>
  </si>
  <si>
    <t>Some high-level KPIs for department leaders mention "digital innovation," but individual performance incentives for adopting specific AI tools are not yet formalized.</t>
  </si>
  <si>
    <t>Incentives and performance metrics are explicitly aligned with AI adoption goals, rewarding employees who successfully integrate and champion the use of AI tools to drive business value.</t>
  </si>
  <si>
    <t>1-&gt;1, 2-&gt;3, 3-&gt;151</t>
  </si>
  <si>
    <t>Is there communication of AI value across the organisation?</t>
  </si>
  <si>
    <t>The value proposition of AI is poorly communicated, leading to a general misunderstanding and skepticism regarding the benefits and purpose of the initiatives.</t>
  </si>
  <si>
    <t>Technical teams communicate results primarily through internal technical channels, with only occasional, high-level updates shared with the broader organization.</t>
  </si>
  <si>
    <t>The value and impact of AI are consistently and clearly communicated across all levels, using case studies and quantifiable metrics to build enthusiasm and confidence in the strategy.</t>
  </si>
  <si>
    <t>1-&gt;1, 2-&gt;3, 3-&gt;152</t>
  </si>
  <si>
    <t>Are success stories shared to build AI momentum?</t>
  </si>
  <si>
    <t>Early wins and positive outcomes from AI pilots are not publicized, resulting in a lack of awareness and missed opportunities to generate internal support and investment.</t>
  </si>
  <si>
    <t>Success stories are occasionally highlighted in internal newsletters but are not tied to specific business outcomes or systematically used to generate enthusiasm for new projects.</t>
  </si>
  <si>
    <t>AI success stories are systematically documented and broadly shared across the enterprise, effectively building momentum, justifying continued investment, and fostering a culture of possibility.</t>
  </si>
  <si>
    <t>1-&gt;1, 2-&gt;3, 3-&gt;153</t>
  </si>
  <si>
    <t>Does the organisation engage in AI research ecosystems?</t>
  </si>
  <si>
    <t>The organization operates in isolation, relying solely on internal capabilities and missing opportunities to leverage external, cutting-edge academic and industry research.</t>
  </si>
  <si>
    <t>The organization maintains basic subscriptions to industry reports, but there are no formal, active relationships or participation in external research consortiums or ecosystems.</t>
  </si>
  <si>
    <t>The organization actively engages in global AI research ecosystems, participating in conferences, publishing findings, and collaborating with external bodies to stay at the forefront of AI innovation.</t>
  </si>
  <si>
    <t>1-&gt;1, 2-&gt;3, 3-&gt;154</t>
  </si>
  <si>
    <t>Is there a culture of experimentation with AI?</t>
  </si>
  <si>
    <t>AI projects are only approved with guaranteed ROI and zero failure tolerance, which severely limits the ability to explore novel or potentially breakthrough use cases.</t>
  </si>
  <si>
    <t>Small, isolated teams run internal "hackathons," but there is no formalized, dedicated budget or sandbox environment specifically for high-risk, high-reward AI experimentation.</t>
  </si>
  <si>
    <t>A vibrant culture of experimentation is actively encouraged, supported by dedicated resources, a failure-tolerant environment, and a formal process for quickly testing and validating AI hypotheses.</t>
  </si>
  <si>
    <t>1-&gt;1, 2-&gt;3, 3-&gt;155</t>
  </si>
  <si>
    <t>Are there partnerships with universities or innovation labs?</t>
  </si>
  <si>
    <t>The organization has no formal ties to academic institutions or external innovation hubs, limiting access to specialized expertise, cutting-edge talent, and shared research.</t>
  </si>
  <si>
    <t>Informal relationships exist with a few local universities for intern placements, but they do not involve joint research projects or strategic knowledge sharing initiatives.</t>
  </si>
  <si>
    <t>Strategic partnerships are in place with key universities and innovation labs, providing access to advanced research, a pipeline of talent, and collaborative development of novel AI solutions.</t>
  </si>
  <si>
    <t>1-&gt;1, 2-&gt;3, 3-&gt;156</t>
  </si>
  <si>
    <t>Does the organization have an up-to-date view of AI skills and gaps?</t>
  </si>
  <si>
    <t>AI skills are largely unknown and developed informally; hiring and training are reactive.</t>
  </si>
  <si>
    <t>A skills view exists for some roles; training is available but not tied to role-based needs.</t>
  </si>
  <si>
    <t>A role-based skills framework exists; training, hiring, and career paths are aligned to the AI roadmap and operating model.</t>
  </si>
  <si>
    <t>1-&gt;1, 2-&gt;3, 3-&gt;157</t>
  </si>
  <si>
    <t>Are AI capabilities part of strategic workforce planning?</t>
  </si>
  <si>
    <t>Workforce impacts are not assessed; role changes happen informally and cause friction.</t>
  </si>
  <si>
    <t>Some role impacts are considered, but planning is incomplete and communication is limited.</t>
  </si>
  <si>
    <t>Workforce impact is proactively planned (role redesign, reskilling, mobility), with clear communication and support.</t>
  </si>
  <si>
    <t>1-&gt;1, 2-&gt;3, 3-&gt;158</t>
  </si>
  <si>
    <t>Are AI roles and responsibilities clearly defined (business, data, engineering, risk)?</t>
  </si>
  <si>
    <t>AI roles and responsibilities are unclear; work depends on a few individuals.</t>
  </si>
  <si>
    <t>Key roles exist, but responsibilities and handoffs are inconsistent.</t>
  </si>
  <si>
    <t>Clear AI roles (business, data, engineering, risk) are defined with RACI and consistent ways of working.</t>
  </si>
  <si>
    <t>1-&gt;1, 2-&gt;3, 3-&gt;159</t>
  </si>
  <si>
    <t>Are incentives/performance metrics updated to support AI adoption and learning?</t>
  </si>
  <si>
    <t>Incentives do not support AI adoption; managers and teams are not rewarded for new ways of working.</t>
  </si>
  <si>
    <t>Some AI goals exist, but are not consistently reflected in performance management.</t>
  </si>
  <si>
    <t>Incentives and performance management reinforce AI-enabled behaviors (quality, learning, adoption) aligned to strategy.</t>
  </si>
  <si>
    <t>1-&gt;1, 2-&gt;3, 3-&gt;160</t>
  </si>
  <si>
    <t>Is the impact of AI on jobs and work design actively managed?</t>
  </si>
  <si>
    <t>1-&gt;1, 2-&gt;3, 3-&gt;161</t>
  </si>
  <si>
    <t>Is accountability for AI-related errors/incidents defined for roles and teams?</t>
  </si>
  <si>
    <t>1-&gt;1, 2-&gt;3, 3-&gt;162</t>
  </si>
  <si>
    <t>Is AI literacy developed for non-technical roles, not only specialists?</t>
  </si>
  <si>
    <t>AI capability building focuses mainly on specialists, while non-technical roles receive little structured support to build practical understanding.</t>
  </si>
  <si>
    <t>Basic AI literacy is offered to some business functions, but coverage is uneven and learning paths for non-technical roles are limited.</t>
  </si>
  <si>
    <t>AI literacy is systematically developed for non-technical roles through targeted learning paths that build practical understanding, judgment, and confidence.</t>
  </si>
  <si>
    <t>1-&gt;1, 2-&gt;3, 3-&gt;163</t>
  </si>
  <si>
    <t>Are employees trained in responsible AI use (privacy, quality, safety)?</t>
  </si>
  <si>
    <t>Employees receive little formal guidance on responsible AI use, leaving privacy, quality, and safety expectations open to interpretation.</t>
  </si>
  <si>
    <t>Responsible AI topics are included in selected trainings or communications, but coverage is inconsistent and not reinforced across the organization.</t>
  </si>
  <si>
    <t>Employees are trained in responsible AI use through structured learning on privacy, quality, safety, and appropriate use in their daily work.</t>
  </si>
  <si>
    <t>1-&gt;1, 2-&gt;3, 3-&gt;164</t>
  </si>
  <si>
    <t>Is AI included in leadership development programs?</t>
  </si>
  <si>
    <t>Leadership development rarely addresses AI, so leaders are not systematically prepared for the strategic and organizational implications.</t>
  </si>
  <si>
    <t>Some leadership programs include AI-related content, but it is not yet a consistent part of how leaders are developed.</t>
  </si>
  <si>
    <t>AI is embedded in leadership development programs to strengthen strategic judgment, governance, and change leadership in an AI-enabled organization.</t>
  </si>
  <si>
    <t>1-&gt;1, 2-&gt;3, 3-&gt;165</t>
  </si>
  <si>
    <t>Is AI knowledge systematically shared (communities of practice, playbooks)?</t>
  </si>
  <si>
    <t>AI knowledge is shared informally and depends on individual initiative rather than structured communities or reusable guidance.</t>
  </si>
  <si>
    <t>Playbooks, communities, or shared resources exist in some areas, but knowledge sharing remains fragmented and difficult to scale.</t>
  </si>
  <si>
    <t>AI knowledge is systematically shared through communities of practice, playbooks, and reusable assets that support learning and execution across teams.</t>
  </si>
  <si>
    <t>1-&gt;1, 2-&gt;3, 3-&gt;166</t>
  </si>
  <si>
    <t>Is resistance to AI proactively managed through HR/change interventions?</t>
  </si>
  <si>
    <t>Resistance to AI is addressed only after it becomes visible, with little proactive support from HR or change management.</t>
  </si>
  <si>
    <t>Some change interventions are used to address concerns around AI, but they are not consistently planned or tailored to affected groups.</t>
  </si>
  <si>
    <t>Resistance to AI is proactively managed through structured HR and change interventions that address concerns, build trust, and support adoption.</t>
  </si>
  <si>
    <t>1-&gt;1, 2-&gt;3, 3-&gt;167</t>
  </si>
  <si>
    <t>Is there sufficient capacity (time/people) to support AI initiatives?</t>
  </si>
  <si>
    <t>AI initiatives regularly stall because teams lack the time, people, or supporting capacity needed to progress effectively.</t>
  </si>
  <si>
    <t>Some capacity is available for priority AI work, but bottlenecks remain common and support is not sufficient across the portfolio.</t>
  </si>
  <si>
    <t>There is sufficient time, people, and supporting capacity to advance AI initiatives without persistent resource bottlenecks.</t>
  </si>
  <si>
    <t>1-&gt;1, 2-&gt;3, 3-&gt;168</t>
  </si>
  <si>
    <t>Is there a role impact map (roles that will change, disappear, or be created due to AI)?</t>
  </si>
  <si>
    <t>The organization has limited visibility into which roles will change, disappear, or emerge as AI adoption expands.</t>
  </si>
  <si>
    <t>Role impacts have been assessed for selected functions, but there is no complete and maintained view across the organization.</t>
  </si>
  <si>
    <t>A role impact map identifies where AI is expected to change, eliminate, or create roles, helping guide workforce planning and transition support.</t>
  </si>
  <si>
    <t>1-&gt;1, 2-&gt;3, 3-&gt;169</t>
  </si>
  <si>
    <t>Are employees trained to recognize and report AI risks (not only to use tools)?</t>
  </si>
  <si>
    <t>Employees are expected to use AI tools, but they are not systematically trained to identify and report risks or incidents.</t>
  </si>
  <si>
    <t>Some employees receive guidance on recognizing AI-related issues, but reporting expectations and escalation routes are not widely understood.</t>
  </si>
  <si>
    <t>Employees are trained to recognize, report, and escalate AI risks through clear guidance, examples, and practical reporting mechanisms.</t>
  </si>
  <si>
    <t>1-&gt;1, 2-&gt;3, 3-&gt;170</t>
  </si>
  <si>
    <t>Is AI part of ethics/integrity training (beyond compliance checklists)?</t>
  </si>
  <si>
    <t>AI is barely addressed in ethics or integrity training, beyond generic compliance messages or high-level principles.</t>
  </si>
  <si>
    <t>Some ethics training references AI, but the guidance is limited and not yet translated into realistic workplace choices and dilemmas.</t>
  </si>
  <si>
    <t>AI is integrated into ethics and integrity training through practical scenarios that help employees apply principles in day-to-day decisions.</t>
  </si>
  <si>
    <t>1-&gt;1, 2-&gt;3, 3-&gt;171</t>
  </si>
  <si>
    <t>Is AI usage (good practice and misuse) addressed in performance?</t>
  </si>
  <si>
    <t>Performance discussions rarely address how employees use AI well or where misuse creates risks or poor outcomes.</t>
  </si>
  <si>
    <t>Expectations around AI use appear in some roles or teams, but good practice and misuse are not assessed consistently.</t>
  </si>
  <si>
    <t>Performance management explicitly addresses responsible and effective AI use, including recognition of good practice and correction of misuse.</t>
  </si>
  <si>
    <t>1-&gt;1, 2-&gt;3, 3-&gt;172</t>
  </si>
  <si>
    <t>Strategic &amp; Leadership Readiness</t>
  </si>
  <si>
    <t>Is there executive sponsorship and vision for AI?</t>
  </si>
  <si>
    <t>AI initiatives proceed without high-level direction, lacking a coherent strategy or visible C-suite champion.</t>
  </si>
  <si>
    <t>Executive awareness exists, with AI included as a line item in broad digital transformation or strategic planning documents.</t>
  </si>
  <si>
    <t>Clear, active C-level sponsorship is in place, with a unified AI vision embedded directly into the corporate strategy and shared across the organization.</t>
  </si>
  <si>
    <t>1-&gt;1, 2-&gt;3, 3-&gt;173</t>
  </si>
  <si>
    <t>Is there an innovation culture and risk appetite for AI?</t>
  </si>
  <si>
    <t>The culture is risk-averse, with a strong preference for maintaining the status quo, which stifles experimentation and the proposal of new AI-driven solutions.</t>
  </si>
  <si>
    <t>Isolated pockets of innovation exist, and leadership is cautiously exploring initial low-risk AI experiments within protected environments.</t>
  </si>
  <si>
    <t>A strong culture of experimentation is fostered, with a clear and acceptable risk appetite that encourages testing, learning quickly from failures, and pursuing disruptive AI opportunities.</t>
  </si>
  <si>
    <t>1-&gt;1, 2-&gt;3, 3-&gt;174</t>
  </si>
  <si>
    <t>Does the organization perform a structured AI Impact Assessment before deploying a new AI system?</t>
  </si>
  <si>
    <t>No formal impact assessment exists.</t>
  </si>
  <si>
    <t>Impact assessments are sometimes performed but not standardized.</t>
  </si>
  <si>
    <t>A formal AI impact assessment is mandatory before deployment.</t>
  </si>
  <si>
    <t>1-&gt;1, 2-&gt;3, 3-&gt;175</t>
  </si>
  <si>
    <t>Does the organization have change management capability for AI initiatives?</t>
  </si>
  <si>
    <t>There is no dedicated change management function, leading to significant employee resistance, poor communication, and inadequate training during technology rollouts.</t>
  </si>
  <si>
    <t>Basic communication plans and informal training sessions are occasionally implemented, primarily managed by the technical project team with limited HR involvement.</t>
  </si>
  <si>
    <t>A mature change management capability is dedicated to AI, systematically addressing stakeholder concerns, providing comprehensive training, and engaging employees early in the adoption process.</t>
  </si>
  <si>
    <t>1-&gt;1, 2-&gt;3, 3-&gt;176</t>
  </si>
  <si>
    <t>Is there a clearly defined AI strategy aligned to business objectives?</t>
  </si>
  <si>
    <t>AI efforts are scattered, project-based activities lacking a formal strategy or explicit connection to critical business outcomes or goals.</t>
  </si>
  <si>
    <t>A draft AI strategy exists, outlining general areas of focus, but it requires further definition and stronger, quantifiable linkage to specific business objectives.</t>
  </si>
  <si>
    <t>A formal, well-articulated AI strategy is established, with initiatives clearly mapped and prioritized based on quantifiable business objectives and value drivers.</t>
  </si>
  <si>
    <t>1-&gt;1, 2-&gt;3, 3-&gt;177</t>
  </si>
  <si>
    <t>Are AI initiatives linked to measurable business outcomes?</t>
  </si>
  <si>
    <t>AI projects are pursued based on technological interest or vague aspirations, without defined Key Performance Indicators (KPIs) or success metrics tied to business value.</t>
  </si>
  <si>
    <t>Initial AI projects track basic technical metrics (e.g., accuracy), and preliminary, qualitative links to potential business benefit are being discussed.</t>
  </si>
  <si>
    <t>Every AI initiative is explicitly linked to defined, quantifiable, and tracked business outcomes (e.g., ROI, cost reduction, customer satisfaction improvement).</t>
  </si>
  <si>
    <t>1-&gt;1, 2-&gt;3, 3-&gt;179</t>
  </si>
  <si>
    <t>Is there a defined AI governance framework?</t>
  </si>
  <si>
    <t>Decision-making around AI model development and deployment is ad-hoc, inconsistent, and lacks formal accountability structures or established guardrails.</t>
  </si>
  <si>
    <t>A preliminary AI governance policy is under development, focusing on initial compliance requirements for high-risk or customer-facing applications.</t>
  </si>
  <si>
    <t>A comprehensive and operational AI governance framework is established, defining roles, responsibilities, ethical standards, risk assessments, and decision-making processes across the AI lifecycle.</t>
  </si>
  <si>
    <t>1-&gt;1, 2-&gt;3, 3-&gt;180</t>
  </si>
  <si>
    <t>Does the organisation have a clear AI risk management strategy?</t>
  </si>
  <si>
    <t>Risks associated with AI, such as model drift, ethical violations, or regulatory non-compliance, are not systematically identified, assessed, or mitigated.</t>
  </si>
  <si>
    <t>Initial efforts are focused on basic security and legal reviews for production models, with plans to expand the scope to cover algorithmic risk in the future.</t>
  </si>
  <si>
    <t>A proactive and clear AI risk management strategy is integrated into the enterprise risk framework, systematically identifying, quantifying, and mitigating technical, ethical, and regulatory risks.</t>
  </si>
  <si>
    <t>1-&gt;1, 2-&gt;3, 3-&gt;181</t>
  </si>
  <si>
    <t>Is AI discussed at board/executive level as a strategic topic?</t>
  </si>
  <si>
    <t>AI is rarely discussed at board/exec level; decisions are delegated downward and lack strategic steering.</t>
  </si>
  <si>
    <t>AI is discussed occasionally (often in the context of digital/IT), but there is limited cadence, decision-right clarity, or follow-through.</t>
  </si>
  <si>
    <t>AI is a standing board/exec topic with clear decisions on portfolio, risk tiers, and value; actions and outcomes are tracked.</t>
  </si>
  <si>
    <t>1-&gt;1, 2-&gt;3, 3-&gt;184</t>
  </si>
  <si>
    <t>Are AI initiatives tied to measurable business value and KPIs?</t>
  </si>
  <si>
    <t>AI initiatives are approved without quantified value hypotheses or a value-realization plan; success is mainly defined by delivery.</t>
  </si>
  <si>
    <t>Some initiatives have value hypotheses, but benefits tracking is inconsistent and often not finance-validated.</t>
  </si>
  <si>
    <t>Each initiative has a clear value thesis and realization plan; benefits are measured pre/post and validated with finance (incl. cost-per-task where relevant).</t>
  </si>
  <si>
    <t>1-&gt;1, 2-&gt;3, 3-&gt;185</t>
  </si>
  <si>
    <t>Is the principle 'value before technology' applied consistently?</t>
  </si>
  <si>
    <t>1-&gt;1, 2-&gt;3, 3-&gt;186</t>
  </si>
  <si>
    <t>Is there an AI portfolio and/or roadmap?</t>
  </si>
  <si>
    <t>There is no coherent AI portfolio/roadmap; initiatives are scattered, duplicative, and not prioritized consistently.</t>
  </si>
  <si>
    <t>A portfolio/roadmap exists, but prioritization criteria and resourcing are uneven and updates are irregular.</t>
  </si>
  <si>
    <t>A governed AI portfolio/roadmap is maintained, prioritized with transparent criteria, and refreshed quarterly based on evidence and strategic fit.</t>
  </si>
  <si>
    <t>1-&gt;1, 2-&gt;3, 3-&gt;187</t>
  </si>
  <si>
    <t>Is AI value validated by Finance/Controlling (benefits realization)?</t>
  </si>
  <si>
    <t>1-&gt;1, 2-&gt;3, 3-&gt;188</t>
  </si>
  <si>
    <t>Is there a sunset/stop policy for AI use cases that do not deliver value?</t>
  </si>
  <si>
    <t>1-&gt;1, 2-&gt;3, 3-&gt;189</t>
  </si>
  <si>
    <t>Is the link between AI and long-term competitive advantage (defensibility) explicitly articulated?</t>
  </si>
  <si>
    <t>AI is treated as a set of tools rather than a competitive capability; differentiation is not articulated.</t>
  </si>
  <si>
    <t>Some differentiating bets are identified, but they are not consistently protected (data, IP, processes) or funded.</t>
  </si>
  <si>
    <t>AI is linked to clear competitive advantage; differentiating data/assets and operating model choices are funded and protected.</t>
  </si>
  <si>
    <t>1-&gt;1, 2-&gt;3, 3-&gt;190</t>
  </si>
  <si>
    <t>Is there clear AI ownership at board or executive level?</t>
  </si>
  <si>
    <t>AI has no clear executive owner; accountability is fragmented and initiatives stall when trade-offs arise.</t>
  </si>
  <si>
    <t>Ownership exists but is limited in authority or scope; decision rights are unclear across business, IT, data, and risk.</t>
  </si>
  <si>
    <t>A clear executive owner/charter exists with decision rights over AI strategy, portfolio, risk tiers, and adoption, aligned with CIO/CDO partnerships.</t>
  </si>
  <si>
    <t>1-&gt;1, 2-&gt;3, 3-&gt;191</t>
  </si>
  <si>
    <t>Is AI a recurring agenda item in executive/board meetings?</t>
  </si>
  <si>
    <t>AI is not a standing leadership topic; discussions are reactive and triggered by incidents or hype.</t>
  </si>
  <si>
    <t>AI appears periodically on agendas, but decisions and follow-up actions are not consistently tracked.</t>
  </si>
  <si>
    <t>AI is on a regular cadence (MT/board), with documented decisions, actions, and outcome tracking.</t>
  </si>
  <si>
    <t>1-&gt;1, 2-&gt;3, 3-&gt;192</t>
  </si>
  <si>
    <t>Do leaders discuss ethical and societal implications of AI?</t>
  </si>
  <si>
    <t>There is no formal path to escalate ethical concerns; issues are handled ad hoc or suppressed.</t>
  </si>
  <si>
    <t>Escalation happens informally, but responsibilities and timelines are unclear.</t>
  </si>
  <si>
    <t>Ethical escalation is formalized up to executive/board level with clear triggers, owners, and response playbooks.</t>
  </si>
  <si>
    <t>1-&gt;1, 2-&gt;3, 3-&gt;193</t>
  </si>
  <si>
    <t>Is AI-related decision-making transparent and explainable?</t>
  </si>
  <si>
    <t>AI-related decisions are not documented; rationale, assumptions, and trade-offs are hard to reconstruct.</t>
  </si>
  <si>
    <t>Some key decisions are documented, but coverage and consistency vary by team.</t>
  </si>
  <si>
    <t>Decisions are documented and traceable (assumptions, data, risks, approvals), enabling auditability and learning.</t>
  </si>
  <si>
    <t>1-&gt;1, 2-&gt;3, 3-&gt;194</t>
  </si>
  <si>
    <t>Are key AI decisions documented and traceable (decision logs)?</t>
  </si>
  <si>
    <t>1-&gt;1, 2-&gt;3, 3-&gt;196</t>
  </si>
  <si>
    <t>Is it explicit where AI will and will not be used?</t>
  </si>
  <si>
    <t>The organization has not clearly defined where AI should be used and where human-led or non-AI approaches remain the better choice.</t>
  </si>
  <si>
    <t>Some boundaries for AI use are known in specific domains, but they are not consistently documented or understood organization-wide.</t>
  </si>
  <si>
    <t>It is explicitly defined where AI should be applied and where it should not, helping teams make consistent and responsible design choices.</t>
  </si>
  <si>
    <t>1-&gt;1, 2-&gt;3, 3-&gt;197</t>
  </si>
  <si>
    <t>Are AI initiatives periodically reviewed for strategic relevance?</t>
  </si>
  <si>
    <t>AI initiatives are not routinely revisited to confirm they still support strategic priorities and business needs.</t>
  </si>
  <si>
    <t>Some initiatives are reviewed for relevance, but the process is irregular and does not consistently influence portfolio choices.</t>
  </si>
  <si>
    <t>AI initiatives are periodically reviewed for strategic relevance, allowing priorities, investments, and effort to be adjusted when needed.</t>
  </si>
  <si>
    <t>1-&gt;1, 2-&gt;3, 3-&gt;198</t>
  </si>
  <si>
    <t>Is AI treated as a long-term capability rather than a temporary experiment?</t>
  </si>
  <si>
    <t>AI is treated mainly as a pilot or experimentation topic rather than as a capability that must be built and sustained over time.</t>
  </si>
  <si>
    <t>Some long-term capability elements are emerging, but much of the organization still approaches AI through temporary initiatives.</t>
  </si>
  <si>
    <t>AI is treated as a long-term capability with sustained ownership, investment, and integration into how the organization operates and evolves.</t>
  </si>
  <si>
    <t>1-&gt;1, 2-&gt;3, 3-&gt;199</t>
  </si>
  <si>
    <t>Is AI included in multi-year investment planning and budgeting?</t>
  </si>
  <si>
    <t>AI spending is handled largely through short-term budgets, with little visibility in multi-year planning or investment decisions.</t>
  </si>
  <si>
    <t>AI appears in parts of the medium-term planning cycle, but commitments remain limited and funding is not yet consistently forward-looking.</t>
  </si>
  <si>
    <t>AI is included in multi-year investment planning and budgeting, enabling sustained capability building and disciplined portfolio choices.</t>
  </si>
  <si>
    <t>1-&gt;1, 2-&gt;3, 3-&gt;200</t>
  </si>
  <si>
    <t>Is there a deliberate balance between quick wins and strategic AI investments?</t>
  </si>
  <si>
    <t>The portfolio is dominated either by short-term wins or by long-term ambition, without a deliberate balance between the two.</t>
  </si>
  <si>
    <t>Both quick wins and strategic initiatives are present, but the balance is not actively managed and can shift with local pressures.</t>
  </si>
  <si>
    <t>There is a deliberate balance between quick wins and strategic AI investments, supporting both near-term value and long-term capability.</t>
  </si>
  <si>
    <t>1-&gt;1, 2-&gt;3, 3-&gt;201</t>
  </si>
  <si>
    <t>Is it clear which business decisions AI is expected to improve or support?</t>
  </si>
  <si>
    <t>It is not clearly defined which business decisions AI is expected to improve, support, or inform, making value hard to assess.</t>
  </si>
  <si>
    <t>AI is linked to decision support in selected areas, but expectations are not consistently explicit across business processes.</t>
  </si>
  <si>
    <t>It is clear which business decisions AI should improve or support, and those expectations guide design, adoption, and value tracking.</t>
  </si>
  <si>
    <t>1-&gt;1, 2-&gt;3, 3-&gt;202</t>
  </si>
  <si>
    <t>Is it explicitly defined which decisions AI may and may not support?</t>
  </si>
  <si>
    <t>Boundaries around which decisions AI may support are unclear, increasing the risk of inappropriate use or overreliance.</t>
  </si>
  <si>
    <t>Some limits are defined for sensitive or high-stakes decisions, but they are not consistently documented or applied across the organization.</t>
  </si>
  <si>
    <t>It is explicitly defined which decisions AI may support and which remain outside scope, with clear rationale and governance.</t>
  </si>
  <si>
    <t>1-&gt;1, 2-&gt;3, 3-&gt;203</t>
  </si>
  <si>
    <t>Do leaders understand AI impact and limitations sufficiently to govern it?</t>
  </si>
  <si>
    <t>Many leaders lack the practical understanding needed to judge AI opportunities, limits, and risks with confidence.</t>
  </si>
  <si>
    <t>Leadership understanding of AI is developing, but knowledge remains uneven and not all leaders can govern AI decisions effectively.</t>
  </si>
  <si>
    <t>Leaders understand AI capabilities, limitations, and implications well enough to make sound decisions and provide effective governance.</t>
  </si>
  <si>
    <t>1-&gt;1, 2-&gt;3, 3-&gt;204</t>
  </si>
  <si>
    <t>Do leaders themselves use AI to support decision-making?</t>
  </si>
  <si>
    <t>Leaders rarely use AI in their own decision-making, limiting both practical familiarity and informed sponsorship.</t>
  </si>
  <si>
    <t>Some leaders use AI to support analysis or communication, but adoption is uneven and not yet embedded in leadership practice.</t>
  </si>
  <si>
    <t>Leaders actively and appropriately use AI to support decision-making, strengthening both effectiveness and firsthand understanding.</t>
  </si>
  <si>
    <t>1-&gt;1, 2-&gt;3, 3-&gt;205</t>
  </si>
  <si>
    <t>Is it clear who makes prioritization decisions for AI initiatives?</t>
  </si>
  <si>
    <t>Prioritization of AI initiatives is fragmented, and it is often unclear who has the authority to decide what moves forward.</t>
  </si>
  <si>
    <t>Decision rights for prioritization exist in some areas, but they are not consistently transparent or accepted across the organization.</t>
  </si>
  <si>
    <t>It is clear who makes prioritization decisions for AI initiatives, using defined criteria and governance to resolve trade-offs.</t>
  </si>
  <si>
    <t>1-&gt;1, 2-&gt;3, 3-&gt;206</t>
  </si>
  <si>
    <t>Are AI risks explicitly weighed in decision-making?</t>
  </si>
  <si>
    <t>AI-related risks are not explicitly weighed in major decisions, or they are considered too late to influence the outcome.</t>
  </si>
  <si>
    <t>Risk is considered for some AI decisions, but the depth and consistency of the trade-off discussion vary significantly.</t>
  </si>
  <si>
    <t>AI risks are explicitly weighed in decision-making alongside value, feasibility, and strategic fit before major commitments are made.</t>
  </si>
  <si>
    <t>1-&gt;1, 2-&gt;3, 3-&gt;207</t>
  </si>
  <si>
    <t>Is there room to experiment without immediate ROI pressure?</t>
  </si>
  <si>
    <t>Teams are expected to prove immediate ROI, leaving little protected space to explore, learn, and de-risk new AI opportunities.</t>
  </si>
  <si>
    <t>Limited room exists for experimentation, but tolerance for uncertain value depends heavily on sponsors and local circumstances.</t>
  </si>
  <si>
    <t>The organization creates room to experiment with AI without immediate ROI pressure, while still using clear learning goals and guardrails.</t>
  </si>
  <si>
    <t>1-&gt;1, 2-&gt;3, 3-&gt;208</t>
  </si>
  <si>
    <t>Are failing AI initiatives actively evaluated and stopped?</t>
  </si>
  <si>
    <t>Underperforming AI initiatives tend to continue without timely challenge, or they stop without a structured review of why they failed.</t>
  </si>
  <si>
    <t>Some struggling initiatives are reviewed and stopped, but the process is inconsistent and lessons are not always captured.</t>
  </si>
  <si>
    <t>Failing AI initiatives are actively evaluated and, where justified, stopped through a structured process that also captures lessons learned.</t>
  </si>
  <si>
    <t>1-&gt;1, 2-&gt;3, 3-&gt;209</t>
  </si>
  <si>
    <t>Is AI treated as a leadership responsibility rather than an IT-only topic?</t>
  </si>
  <si>
    <t>AI is still treated mainly as an IT matter, with limited ownership and engagement from business and organizational leaders.</t>
  </si>
  <si>
    <t>Some business leaders are involved in AI, but responsibility still leans heavily toward IT or technical teams.</t>
  </si>
  <si>
    <t>AI is treated as a leadership responsibility, with active ownership from business, technology, and operational leaders.</t>
  </si>
  <si>
    <t>1-&gt;1, 2-&gt;3, 3-&gt;210</t>
  </si>
  <si>
    <t>Is there alignment between business, IT and data leadership on AI priorities?</t>
  </si>
  <si>
    <t>Business, IT, and data leaders often pursue different AI priorities, creating friction, duplication, or slow execution.</t>
  </si>
  <si>
    <t>Alignment exists on some major priorities, but differences in goals, sequencing, or ownership still hamper coordinated action.</t>
  </si>
  <si>
    <t>Business, IT, and data leadership are aligned on AI priorities, enabling coherent investment, execution, and accountability.</t>
  </si>
  <si>
    <t>1-&gt;1, 2-&gt;3, 3-&gt;211</t>
  </si>
  <si>
    <t>Is a minimum AI literacy baseline defined for executives/board members?</t>
  </si>
  <si>
    <t>No minimum AI literacy expectation is defined for executives or board members, so capability depends on personal interest and background.</t>
  </si>
  <si>
    <t>Basic expectations are emerging for some senior leaders, but there is no consistently applied baseline across the executive or board level.</t>
  </si>
  <si>
    <t>This is defined for executives and board members, supporting informed oversight and decision-making.</t>
  </si>
  <si>
    <t>1-&gt;1, 2-&gt;3, 3-&gt;212</t>
  </si>
  <si>
    <t>Is there a formal ethics/escalation route to the executive/board level?</t>
  </si>
  <si>
    <t>Escalation of ethical concerns rarely reaches senior leadership through a formal route, relying instead on informal channels or local judgment.</t>
  </si>
  <si>
    <t>An executive escalation path exists for certain issues, but it is not widely understood or consistently used.</t>
  </si>
  <si>
    <t>There is a formal ethics and escalation route to executive or board level, with clear triggers, ownership, and follow-up.</t>
  </si>
  <si>
    <t>1-&gt;1, 2-&gt;3, 3-&gt;213</t>
  </si>
  <si>
    <t>Are potential unintended consequences explicitly assessed before major AI decisions?</t>
  </si>
  <si>
    <t>Major AI decisions are made without consistently examining potential unintended consequences for users, employees, or the organization.</t>
  </si>
  <si>
    <t>Possible unintended consequences are discussed for some major decisions, but the assessment is not yet systematic or well documented.</t>
  </si>
  <si>
    <t>Potential unintended consequences are explicitly assessed before major AI decisions, with findings used to shape design, controls, and go/no-go choices.</t>
  </si>
  <si>
    <t>1-&gt;1, 2-&gt;3, 3-&gt;214</t>
  </si>
  <si>
    <t>Technology Infrastructure &amp; Tooling</t>
  </si>
  <si>
    <t>Is storage architecture enabling scalable dataset creation?</t>
  </si>
  <si>
    <t>Storage structure limits dataset creation.</t>
  </si>
  <si>
    <t>Architecture supports some use cases but requires workarounds.</t>
  </si>
  <si>
    <t>Storage architecture supports scalable, repeatable dataset creation.</t>
  </si>
  <si>
    <t>1-&gt;1, 2-&gt;3, 3-&gt;215</t>
  </si>
  <si>
    <t>Is data centralized, federated, or decentralized in a way that supports AI readiness?</t>
  </si>
  <si>
    <t>Data distribution creates duplication or access barriers.</t>
  </si>
  <si>
    <t>A hybrid approach exists but standards are unclear.</t>
  </si>
  <si>
    <t>A deliberate centralized or federated approach balances access and consistency.</t>
  </si>
  <si>
    <t>1-&gt;1, 2-&gt;3, 3-&gt;216</t>
  </si>
  <si>
    <t>Are backup and recovery capabilities sufficient for AI datasets?</t>
  </si>
  <si>
    <t>Data loss or recovery gaps prevent reproducibility.</t>
  </si>
  <si>
    <t>Backups exist but are not aligned with AI dataset needs.</t>
  </si>
  <si>
    <t>Backup and recovery ensure historical datasets can be restored.</t>
  </si>
  <si>
    <t>1-&gt;1, 2-&gt;3, 3-&gt;217</t>
  </si>
  <si>
    <t>Is data movement between environments reliable for AI use?</t>
  </si>
  <si>
    <t>Data movement is ad-hoc and inconsistent.</t>
  </si>
  <si>
    <t>Data transfer exists but lacks standardization.</t>
  </si>
  <si>
    <t>Data movement is standardized, traceable, and supports consistent dataset creation.</t>
  </si>
  <si>
    <t>1-&gt;1, 2-&gt;3, 3-&gt;218</t>
  </si>
  <si>
    <t>Are AI systems tested for adversarial attacks or prompt manipulation?</t>
  </si>
  <si>
    <t>No AI security testing.</t>
  </si>
  <si>
    <t>Limited testing for critical systems.</t>
  </si>
  <si>
    <t>Formal adversarial testing integrated in development.</t>
  </si>
  <si>
    <t>1-&gt;1, 2-&gt;3, 3-&gt;219</t>
  </si>
  <si>
    <t>Is AI observability implemented across data, model and infrastructure layers?</t>
  </si>
  <si>
    <t>Limited observability.</t>
  </si>
  <si>
    <t>Partial observability.</t>
  </si>
  <si>
    <t>Full observability with alerts and dashboards.</t>
  </si>
  <si>
    <t>1-&gt;1, 2-&gt;3, 3-&gt;220</t>
  </si>
  <si>
    <t>Are AI models monitored for performance drift after deployment?</t>
  </si>
  <si>
    <t>Model drift is not monitored and performance degradation may go unnoticed.</t>
  </si>
  <si>
    <t>Some models are occasionally checked for drift but monitoring is inconsistent.</t>
  </si>
  <si>
    <t>Automated monitoring detects model drift and triggers review or retraining processes.</t>
  </si>
  <si>
    <t>1-&gt;1, 2-&gt;3, 3-&gt;223</t>
  </si>
  <si>
    <t>Are there scalable compute resources and infrastructure (cloud/GPU) available?</t>
  </si>
  <si>
    <t>AI development is constrained by limited, on-premise hardware and a lack of access to specialized resources (e.g., GPUs/TPUs), slowing down training and experimentation.</t>
  </si>
  <si>
    <t>Basic cloud infrastructure is provisioned, but access to high-performance computing (GPU) resources is limited and requires lengthy internal requisition processes.</t>
  </si>
  <si>
    <t>Scalable, on-demand compute resources (cloud-based GPUs, distributed processing) are readily available to all AI teams, enabling rapid, large-scale model training and deployment.</t>
  </si>
  <si>
    <t>1-&gt;1, 2-&gt;3, 3-&gt;224</t>
  </si>
  <si>
    <t>Are automated data pipelines (ETL/ELT) in place?</t>
  </si>
  <si>
    <t>Data ingestion and transformation are manual or rely on brittle, non-reusable scripts, resulting in long data preparation cycles and difficulty in reproducing results.</t>
  </si>
  <si>
    <t>Initial automated pipelines are built for core production data, but the majority of data preparation for feature engineering still requires significant manual intervention by data scientists.</t>
  </si>
  <si>
    <t>Fully automated, reliable, and reusable data pipelines (ETL/ELT) are in place, ensuring high-quality data flows efficiently from source to the model training environment.</t>
  </si>
  <si>
    <t>1-&gt;1, 2-&gt;3, 3-&gt;225</t>
  </si>
  <si>
    <t>Is there machine learning tool stack integration?</t>
  </si>
  <si>
    <t>Data scientists use a fragmented collection of individual tools (notebooks, different libraries), leading to compatibility issues, lack of standardization, and difficulty in collaboration.</t>
  </si>
  <si>
    <t>A preferred set of tools and libraries is recommended, and initial efforts are underway to provide a centralized platform, but the full stack integration is incomplete.</t>
  </si>
  <si>
    <t>A unified, integrated machine learning tool stack (ML platform) is available, streamlining the development environment, managing dependencies, and enabling seamless collaboration.</t>
  </si>
  <si>
    <t>1-&gt;1, 2-&gt;3, 3-&gt;226</t>
  </si>
  <si>
    <t>Is model versioning and experiment tracking implemented?</t>
  </si>
  <si>
    <t>Model development is ad-hoc, with no system to track which code, hyperparameters, and datasets were used to produce a specific model, making reproducibility impossible.</t>
  </si>
  <si>
    <t>Data scientists use local or rudimentary tools for tracking, and version control for model code is available, but a centralized, automated system for comprehensive experiment logging is missing.</t>
  </si>
  <si>
    <t>Automated model versioning and comprehensive experiment tracking are mandatory and implemented across all projects, ensuring full reproducibility and auditability of all developed models.</t>
  </si>
  <si>
    <t>1-&gt;1, 2-&gt;3, 3-&gt;227</t>
  </si>
  <si>
    <t>Are MLOps pipelines (CI/CD for ML) established?</t>
  </si>
  <si>
    <t>Deploying models is a manual, error-prone, and slow hand-off process between data science and IT, creating a major bottleneck for moving pilots into production.</t>
  </si>
  <si>
    <t>Initial Continuous Integration (CI) is implemented for model code testing, but the Continuous Delivery (CD) aspect for automated model deployment and monitoring is not yet operational.</t>
  </si>
  <si>
    <t>Robust MLOps pipelines (CI/CD) are fully established, automating the testing, building, deployment, and monitoring of machine learning models into production environments.</t>
  </si>
  <si>
    <t>1-&gt;1, 2-&gt;3, 3-&gt;228</t>
  </si>
  <si>
    <t>Is there a modern data infrastructure (cloud, data lake/warehouse)?</t>
  </si>
  <si>
    <t>Data resides in legacy relational databases and file shares that lack the flexibility, scalability, and performance required for modern AI data processing.</t>
  </si>
  <si>
    <t>Migration to a cloud environment and the establishment of a data warehouse are in progress, but the data lake architecture for unstructured data and experimentation is incomplete.</t>
  </si>
  <si>
    <t>A modern, cloud-native data infrastructure (integrated data lakehouse) is fully operational, providing a scalable, flexible, and high-performance foundation for all AI initiatives.</t>
  </si>
  <si>
    <t>1-&gt;1, 2-&gt;3, 3-&gt;229</t>
  </si>
  <si>
    <t>Are cybersecurity measures applied to AI systems?</t>
  </si>
  <si>
    <t>AI models and their serving infrastructure are deployed with standard IT security protocols, but lack specific measures to address AI-unique vulnerabilities (e.g., adversarial attacks, model theft).</t>
  </si>
  <si>
    <t>Basic model access controls and network segregation are in place, and a review of specific AI security threats is being planned by the security team.</t>
  </si>
  <si>
    <t>Dedicated, advanced cybersecurity measures are applied specifically to AI systems, including adversarial robustness testing, secure API deployment, and proactive model integrity monitoring.</t>
  </si>
  <si>
    <t>1-&gt;1, 2-&gt;3, 3-&gt;230</t>
  </si>
  <si>
    <t>Are APIs and integration frameworks available for AI deployment?</t>
  </si>
  <si>
    <t>Models are deployed as monolithic services, requiring custom integration code for every application, which severely limits reuse and deployment speed.</t>
  </si>
  <si>
    <t>A centralized API gateway is being planned, and some initial REST APIs are developed for core models, but a standardized framework for easy, scalable integration is not established.</t>
  </si>
  <si>
    <t>Standardized APIs and robust integration frameworks are readily available, enabling rapid, secure, and scalable deployment and consumption of AI services across all business applications.</t>
  </si>
  <si>
    <t>1-&gt;1, 2-&gt;3, 3-&gt;231</t>
  </si>
  <si>
    <t>Are AI projects designed with scalability in mind?</t>
  </si>
  <si>
    <t>Pilots and proofs-of-concept (POCs) are built without considering production load or growth, leading to immediate performance issues when moved to a larger user base.</t>
  </si>
  <si>
    <t>Scalability is considered a secondary objective, with plans to refactor the architecture only after a successful pilot demonstrates value, risking rework and delays.</t>
  </si>
  <si>
    <t>Scalability is a primary design principle for all AI projects from inception, ensuring that architectures, data pipelines, and compute resources can seamlessly handle projected growth and production load.</t>
  </si>
  <si>
    <t>1-&gt;1, 2-&gt;3, 3-&gt;232</t>
  </si>
  <si>
    <t>Is there long-term budget allocation for AI initiatives?</t>
  </si>
  <si>
    <t>AI projects are funded on an ad-hoc, year-to-year basis, creating uncertainty and hindering the ability to plan for strategic, multi-year initiatives or necessary infrastructure upgrades.</t>
  </si>
  <si>
    <t>Initial seed funding is allocated for pilot projects, and the value from these pilots is used to justify the next year's allocation, but dedicated, multi-year funding is missing.</t>
  </si>
  <si>
    <t>Clear, long-term budget allocation is secured for strategic AI initiatives, covering recurring costs for infrastructure, talent, and continuous model maintenance and improvement.</t>
  </si>
  <si>
    <t>1-&gt;1, 2-&gt;3, 3-&gt;234</t>
  </si>
  <si>
    <t>Are AI systems stress-tested under high load conditions?</t>
  </si>
  <si>
    <t>Models are deployed based on performance in development environments without rigorous testing of their ability to maintain performance under peak traffic or data velocity.</t>
  </si>
  <si>
    <t>Load testing is performed at a basic level (e.g., testing average day load), but extreme, high-peak, or disaster scenario stress-testing is not systematically conducted.</t>
  </si>
  <si>
    <t>All production-bound AI systems are rigorously stress-tested under simulated high-load, peak-traffic, and failure conditions to ensure reliability and performance under all operational scenarios.</t>
  </si>
  <si>
    <t>1-&gt;1, 2-&gt;3, 3-&gt;235</t>
  </si>
  <si>
    <t>Is there a roadmap for generative AI and emerging technologies?</t>
  </si>
  <si>
    <t>The organization is focused solely on existing use cases, with no proactive plan or exploration for adopting or integrating emerging technologies like Generative AI.</t>
  </si>
  <si>
    <t>Informal discussions are taking place regarding the potential of emerging AI, and a few internal teams are running isolated experiments with GenAI tools.</t>
  </si>
  <si>
    <t>A formal, dynamic roadmap for Generative AI and other emerging technologies is maintained, outlining strategic exploration, piloting, and planned integration across key business functions.</t>
  </si>
  <si>
    <t>1-&gt;1, 2-&gt;3, 3-&gt;236</t>
  </si>
  <si>
    <t>Is sustainability considered in AI infrastructure and operations?</t>
  </si>
  <si>
    <t>AI infrastructure is provisioned purely on performance/cost, with no consideration for the environmental impact (e.g., carbon footprint) of large model training or continuous inference.</t>
  </si>
  <si>
    <t>The IT team is aware of cloud provider sustainability reports, and preference is given to more energy-efficient regions, but this is not a mandatory design criterion for AI.</t>
  </si>
  <si>
    <t>Sustainability is a core consideration in AI infrastructure and operations, with metrics tracking energy consumption and processes in place to optimize model size and computational efficiency.</t>
  </si>
  <si>
    <t>1-&gt;1, 2-&gt;3, 3-&gt;237</t>
  </si>
  <si>
    <t>Is there team readiness and ownership for AI initiatives?</t>
  </si>
  <si>
    <t>Business units lack the understanding and capacity to own the deployed AI systems, often pushing all responsibility and maintenance back onto the central technical team.</t>
  </si>
  <si>
    <t>The AI team handles deployment, and a basic hand-off to the business owner occurs, but the business unit lacks dedicated personnel or formal readiness to manage the change or monitor the results.</t>
  </si>
  <si>
    <t>Clear team readiness and ownership are established early, with the business unit taking full accountability for the performance, user adoption, and realization of value from the deployed AI system.</t>
  </si>
  <si>
    <t>1-&gt;1, 2-&gt;3, 3-&gt;238</t>
  </si>
  <si>
    <t>Is data ownership and stewardship explicitly assigned?</t>
  </si>
  <si>
    <t>Data ownership and governance are unclear; access is fragmented and quality issues are frequent.</t>
  </si>
  <si>
    <t>Basic data governance exists for priority datasets, but coverage and enforcement are inconsistent.</t>
  </si>
  <si>
    <t>Strong data governance is in place with clear ownership, quality controls, and enterprise access patterns supporting AI at scale.</t>
  </si>
  <si>
    <t>1-&gt;1, 2-&gt;3, 3-&gt;239</t>
  </si>
  <si>
    <t>Are data pipelines reliable and scalable for AI use?</t>
  </si>
  <si>
    <t>Data pipelines are manual and brittle, causing delays and inconsistent model inputs.</t>
  </si>
  <si>
    <t>Some pipelines are automated, but reliability and monitoring are limited.</t>
  </si>
  <si>
    <t>Pipelines are automated, monitored, and resilient; data contracts and SLAs support production-grade AI.</t>
  </si>
  <si>
    <t>1-&gt;1, 2-&gt;3, 3-&gt;240</t>
  </si>
  <si>
    <t>Is model lifecycle management (versioning, deployment, retraining) in place?</t>
  </si>
  <si>
    <t>Model lifecycle is unmanaged; deployments are one-off and drift is not monitored.</t>
  </si>
  <si>
    <t>Some MLOps practices exist for a few models, but not standardized across teams.</t>
  </si>
  <si>
    <t>MLOps is standardized with CI/CD, evaluation suites, monitoring, and retraining triggers across all production models.</t>
  </si>
  <si>
    <t>1-&gt;1, 2-&gt;3, 3-&gt;241</t>
  </si>
  <si>
    <t>Is continuous monitoring of models and data drift implemented?</t>
  </si>
  <si>
    <t>1-&gt;1, 2-&gt;3, 3-&gt;242</t>
  </si>
  <si>
    <t>Is vendor lock-in actively managed (portability, exit options)?</t>
  </si>
  <si>
    <t>Vendor dependencies are unmanaged; portability and exit paths are not considered.</t>
  </si>
  <si>
    <t>Some contracts include basic clauses, but technical and data portability are not fully tested.</t>
  </si>
  <si>
    <t>Vendor strategy includes portability, evaluation access, and exit paths; golden datasets and minimal internal capability reduce lock-in.</t>
  </si>
  <si>
    <t>1-&gt;1, 2-&gt;3, 3-&gt;243</t>
  </si>
  <si>
    <t>Is data provenance (origin, consent, licensing) explicitly documented and auditable?</t>
  </si>
  <si>
    <t>Data provenance and usage rights are not documented, creating legal and reputational exposure.</t>
  </si>
  <si>
    <t>Some provenance is tracked for key datasets, but gaps remain in lineage and consent.</t>
  </si>
  <si>
    <t>Provenance, licensing, and consent are tracked end-to-end (datasets, prompts, outputs) enabling auditability and compliance.</t>
  </si>
  <si>
    <t>1-&gt;1, 2-&gt;3, 3-&gt;244</t>
  </si>
  <si>
    <t>Are AI unit economics monitored (cost-per-task, efficiency, energy/carbon where relevant)?</t>
  </si>
  <si>
    <t>Cost and energy implications are not monitored; AI spend grows without clear unit economics.</t>
  </si>
  <si>
    <t>Some cost tracking exists, but not at task/unit level and not tied to decision-making.</t>
  </si>
  <si>
    <t>Unit economics are tracked (cost-per-task, latency, carbon where relevant) and used to optimize architectures and usage.</t>
  </si>
  <si>
    <t>1-&gt;1, 2-&gt;3, 3-&gt;245</t>
  </si>
  <si>
    <t>Is there a clear data strategy aligned to AI priorities?</t>
  </si>
  <si>
    <t>Data efforts are fragmented and not clearly aligned to the AI priorities the organization is trying to advance.</t>
  </si>
  <si>
    <t>Some data initiatives support priority AI use cases, but the overall strategy is incomplete or not consistently connected to business priorities.</t>
  </si>
  <si>
    <t>There is a clear data strategy aligned to AI priorities, guiding investment, ownership, and the data capabilities needed for delivery.</t>
  </si>
  <si>
    <t>1-&gt;1, 2-&gt;3, 3-&gt;246</t>
  </si>
  <si>
    <t>Is data accessible across departments with appropriate controls?</t>
  </si>
  <si>
    <t>Useful data remains difficult to access across departments because of silos, unclear ownership, or poorly implemented controls.</t>
  </si>
  <si>
    <t>Cross-department access is possible for some data domains, but availability and control mechanisms are uneven.</t>
  </si>
  <si>
    <t>Data is accessible across departments through defined access processes and appropriate controls that support both use and protection.</t>
  </si>
  <si>
    <t>1-&gt;1, 2-&gt;3, 3-&gt;247</t>
  </si>
  <si>
    <t>Is data quality systematically governed and improved?</t>
  </si>
  <si>
    <t>Data quality issues are handled reactively, and there is no consistent governance to improve accuracy, completeness, or reliability over time.</t>
  </si>
  <si>
    <t>Some data quality controls and improvement efforts exist, but they are limited to selected domains and are not consistently managed.</t>
  </si>
  <si>
    <t>Data quality is systematically governed and improved through defined standards, ownership, monitoring, and remediation processes.</t>
  </si>
  <si>
    <t>1-&gt;1, 2-&gt;3, 3-&gt;248</t>
  </si>
  <si>
    <t>Are data definitions consistent (single source of truth where relevant)?</t>
  </si>
  <si>
    <t>Key data terms and definitions vary across teams, creating confusion and undermining trust in AI-related analysis and outputs.</t>
  </si>
  <si>
    <t>Common definitions exist for some critical data elements, but consistency is incomplete and local interpretations remain common.</t>
  </si>
  <si>
    <t>Data definitions are consistently managed across relevant domains, creating a reliable shared understanding and a single source of truth where needed.</t>
  </si>
  <si>
    <t>1-&gt;1, 2-&gt;3, 3-&gt;249</t>
  </si>
  <si>
    <t>Is there visibility into data gaps and data-related risks?</t>
  </si>
  <si>
    <t>The organization has limited visibility into where important data is missing, weak, or risky for AI use.</t>
  </si>
  <si>
    <t>Some data gaps and risks are known in high-priority areas, but the view is incomplete and not maintained consistently.</t>
  </si>
  <si>
    <t>There is clear visibility into data gaps and data-related risks, enabling targeted mitigation and better prioritization of AI work.</t>
  </si>
  <si>
    <t>1-&gt;1, 2-&gt;3, 3-&gt;250</t>
  </si>
  <si>
    <t>Is AI/ML infrastructure fit for both experimentation and production?</t>
  </si>
  <si>
    <t>Current AI and ML infrastructure supports either experimentation or production only partially, creating friction when solutions need to scale.</t>
  </si>
  <si>
    <t>Basic infrastructure exists for both experimentation and production, but gaps in reliability, tooling, or handover still slow progress.</t>
  </si>
  <si>
    <t>AI and ML infrastructure is fit for both experimentation and production, enabling smooth development, deployment, and operation at scale.</t>
  </si>
  <si>
    <t>1-&gt;1, 2-&gt;3, 3-&gt;251</t>
  </si>
  <si>
    <t>Are experimentation and production environments separated appropriately?</t>
  </si>
  <si>
    <t>Experimentation and production happen in overlapping environments, increasing operational, security, and change-control risks.</t>
  </si>
  <si>
    <t>Some separation exists between experimentation and production, but boundaries and controls are not fully consistent.</t>
  </si>
  <si>
    <t>Experimentation and production environments are appropriately separated, with controls that support both agility and operational reliability.</t>
  </si>
  <si>
    <t>1-&gt;1, 2-&gt;3, 3-&gt;252</t>
  </si>
  <si>
    <t>Is cybersecurity explicitly addressed for AI systems and integrations?</t>
  </si>
  <si>
    <t>Cybersecurity is not explicitly considered in the design, deployment, or management of AI systems and their integrations.</t>
  </si>
  <si>
    <t>Security requirements are applied to some AI solutions, but AI-specific attack surfaces and integration risks are not addressed consistently.</t>
  </si>
  <si>
    <t>Cybersecurity is explicitly addressed for AI systems and integrations through defined requirements, review, and ongoing control measures.</t>
  </si>
  <si>
    <t>1-&gt;1, 2-&gt;3, 3-&gt;253</t>
  </si>
  <si>
    <t>Are AI solutions integrated into the existing IT landscape and architecture?</t>
  </si>
  <si>
    <t>AI solutions are often developed in isolation, making integration with existing applications, data flows, and architecture difficult.</t>
  </si>
  <si>
    <t>Some AI solutions are integrated into the broader IT landscape, but approaches differ and architectural fit is not always well managed.</t>
  </si>
  <si>
    <t>AI solutions are integrated into the existing IT landscape and architecture through defined standards, interfaces, and lifecycle management.</t>
  </si>
  <si>
    <t>1-&gt;1, 2-&gt;3, 3-&gt;254</t>
  </si>
  <si>
    <t>Is technical debt in data/AI platforms visible and actively managed?</t>
  </si>
  <si>
    <t>Technical debt in data and AI platforms is poorly visible, so issues accumulate and slow delivery, reliability, and change.</t>
  </si>
  <si>
    <t>Some debt is identified and addressed, but visibility is incomplete and remediation competes inconsistently with new delivery work.</t>
  </si>
  <si>
    <t>Technical debt in data and AI platforms is visible, prioritized, and actively managed as part of the platform roadmap.</t>
  </si>
  <si>
    <t>1-&gt;1, 2-&gt;3, 3-&gt;255</t>
  </si>
  <si>
    <t>Is model use traceable back to source data and decision context (lineage)?</t>
  </si>
  <si>
    <t>It is difficult to trace how models relate to source data, inputs, and the decision context in which outputs are used.</t>
  </si>
  <si>
    <t>Lineage exists for some models or data flows, but traceability is incomplete and not reliable across the full lifecycle.</t>
  </si>
  <si>
    <t>Model use is traceable back to source data and decision context through maintained lineage and documentation across the lifecycle.</t>
  </si>
  <si>
    <t>1-&gt;1, 2-&gt;3, 3-&gt;256</t>
  </si>
  <si>
    <t>Are dependencies on foundation models and external APIs mapped?</t>
  </si>
  <si>
    <t>This are not comprehensively mapped, limiting oversight of continuity and risk.</t>
  </si>
  <si>
    <t>Key external dependencies are known for some AI solutions, but the inventory is incomplete and not maintained consistently.</t>
  </si>
  <si>
    <t>Dependencies on foundation models and external APIs are mapped and maintained, supporting risk management, resilience, and change planning.</t>
  </si>
  <si>
    <t>1-&gt;1, 2-&gt;3, 3-&gt;257</t>
  </si>
  <si>
    <t>Is there a policy for model/prompt retirement and decommissioning?</t>
  </si>
  <si>
    <t>Models and prompts remain in use until teams remove them informally, with no defined process for retirement, archival, or decommissioning.</t>
  </si>
  <si>
    <t>Some teams document when models or prompts should be retired, but the process is inconsistent and responsibilities are not always clear.</t>
  </si>
  <si>
    <t>Model and prompt retirement follow a defined lifecycle process with clear ownership, documentation, and controlled decommissioning of obsolete assets.</t>
  </si>
  <si>
    <t>1-&gt;1, 2-&gt;3, 3-&gt;258</t>
  </si>
  <si>
    <t>Use Case Maturity &amp; Adoption</t>
  </si>
  <si>
    <t>Is portfolio of AI Use Cases (mapped to business value) in place?</t>
  </si>
  <si>
    <t>AI projects are initiated in an ad-hoc manner, driven by individual interest, and the organization lacks a central inventory of opportunities aligned to strategic value.</t>
  </si>
  <si>
    <t>An informal list of potential AI use cases exists, often generated from a single workshop, but they lack formal validation, business case, or clear mapping to quantifiable value.</t>
  </si>
  <si>
    <t>A comprehensive, prioritized portfolio of AI Use Cases is maintained, with each entry clearly mapped to quantifiable business value and strategic objectives for decision-making.</t>
  </si>
  <si>
    <t>1-&gt;1, 2-&gt;3, 3-&gt;259</t>
  </si>
  <si>
    <t>Is there a clear vision of why the organization wants to implement AI?</t>
  </si>
  <si>
    <t>No central vision; teams are experimenting ad-hoc without an overarching goal.</t>
  </si>
  <si>
    <t>A vision exists on paper, but it hasn't been translated into daily practice yet.</t>
  </si>
  <si>
    <t>A widely communicated vision that addresses both opportunities and human impact.</t>
  </si>
  <si>
    <t>1-&gt;1, 2-&gt;3, 3-&gt;260</t>
  </si>
  <si>
    <t>Is there an active and visible sponsor coalition for the AI transformation?</t>
  </si>
  <si>
    <t>Viewed as an IT project with no leadership involvement; C-suite is absent.</t>
  </si>
  <si>
    <t>A few enthusiastic managers exist, but there is no united front from the top.</t>
  </si>
  <si>
    <t>The top leadership speaks consistently, uses AI themselves, and provides resources.</t>
  </si>
  <si>
    <t>1-&gt;1, 2-&gt;3, 3-&gt;261</t>
  </si>
  <si>
    <t>Do employees understand the "Business Need" for AI?</t>
  </si>
  <si>
    <t>Employees don't know why AI is necessary and see it as a passing fad.</t>
  </si>
  <si>
    <t>The need is understood at an organizational level, but not for individual roles.</t>
  </si>
  <si>
    <t>Employees understand the external pressures and the necessity to innovate.</t>
  </si>
  <si>
    <t>1-&gt;1, 2-&gt;3, 3-&gt;262</t>
  </si>
  <si>
    <t>Does communication address the risks and ethics of AI?</t>
  </si>
  <si>
    <t>Risks (bias, privacy) are ignored or unknown to the general workforce.</t>
  </si>
  <si>
    <t>Guidelines exist, but they are not yet actively followed or discussed.</t>
  </si>
  <si>
    <t>Ethics and safety are an integral and discussable part of the adoption approach.</t>
  </si>
  <si>
    <t>1-&gt;1, 2-&gt;3, 3-&gt;263</t>
  </si>
  <si>
    <t>Is the "What's In It For Me" (WIIFM) defined for different roles?</t>
  </si>
  <si>
    <t>The focus is solely on efficiency and cost savings for the organization.</t>
  </si>
  <si>
    <t>Benefits like time-saving are mentioned, but remain too generic.</t>
  </si>
  <si>
    <t>It is clear for each job group how AI makes their work easier or more valuable.</t>
  </si>
  <si>
    <t>1-&gt;1, 2-&gt;3, 3-&gt;264</t>
  </si>
  <si>
    <t>How is the fear of job loss or role change being managed?</t>
  </si>
  <si>
    <t>Fear is ignored or dismissed as irrational or unimportant.</t>
  </si>
  <si>
    <t>Change is acknowledged, but a concrete social plan or retraining path is missing.</t>
  </si>
  <si>
    <t>There is open dialogue and a commitment to "human-in-the-loop" principles.</t>
  </si>
  <si>
    <t>1-&gt;1, 2-&gt;3, 3-&gt;265</t>
  </si>
  <si>
    <t>Is there a specific "AI Literacy" training program?</t>
  </si>
  <si>
    <t>Training is limited to a basic manual or technical guide of the specific tool.</t>
  </si>
  <si>
    <t>Workshops are available, but focus only on buttons, not conceptual understanding.</t>
  </si>
  <si>
    <t>Layered program: from basic concepts and prompting to critical thinking.</t>
  </si>
  <si>
    <t>1-&gt;1, 2-&gt;3, 3-&gt;266</t>
  </si>
  <si>
    <t>Are new required skills (e.g., Prompt Engineering) identified?</t>
  </si>
  <si>
    <t>The organization expects employees to teach themselves these skills.</t>
  </si>
  <si>
    <t>Skills are identified but not yet embedded in job profiles or descriptions.</t>
  </si>
  <si>
    <t>Skills are a structural part of learning goals and performance reviews.</t>
  </si>
  <si>
    <t>1-&gt;1, 2-&gt;3, 3-&gt;267</t>
  </si>
  <si>
    <t>Are employees given the space (time) to experiment with AI?</t>
  </si>
  <si>
    <t>Workload remains the same; experimenting must happen in one's own time.</t>
  </si>
  <si>
    <t>"Sandboxes" exist, but daily targets leave little room for actual practice.</t>
  </si>
  <si>
    <t>Experimenting is a formal part of working hours and is actively encouraged.</t>
  </si>
  <si>
    <t>1-&gt;1, 2-&gt;3, 3-&gt;268</t>
  </si>
  <si>
    <t>Is coaching available during the initial stages of usage?</t>
  </si>
  <si>
    <t>Employees must figure it out themselves via YouTube or Google.</t>
  </si>
  <si>
    <t>A helpdesk for technical issues exists, but no functional/content coaching.</t>
  </si>
  <si>
    <t>A network of "AI Champions" or internal coaches helps colleagues on-the-job.</t>
  </si>
  <si>
    <t>1-&gt;1, 2-&gt;3, 3-&gt;269</t>
  </si>
  <si>
    <t>Are successes and "best practices" actively shared?</t>
  </si>
  <si>
    <t>Successes remain limited to individuals and are not shared across the company.</t>
  </si>
  <si>
    <t>Occasional newsletters mention an AI success story or a specific use case.</t>
  </si>
  <si>
    <t>A structural platform/community exists for exchanging prompts and successes.</t>
  </si>
  <si>
    <t>1-&gt;1, 2-&gt;3, 3-&gt;270</t>
  </si>
  <si>
    <t>Is AI adoption linked to the performance and reward cycle?</t>
  </si>
  <si>
    <t>AI usage has no impact on performance ratings or career growth.</t>
  </si>
  <si>
    <t>Innovative behavior is appreciated, but not specifically targeted at AI adoption.</t>
  </si>
  <si>
    <t>Effective AI usage is an explicit part of performance indicators (KPIs).</t>
  </si>
  <si>
    <t>1-&gt;1, 2-&gt;3, 3-&gt;271</t>
  </si>
  <si>
    <t>How does the organization react to mistakes made by AI?</t>
  </si>
  <si>
    <t>Mistakes are punished; there is a culture of fear regarding AI outputs.</t>
  </si>
  <si>
    <t>Mistakes are tolerated, but there is no process for collective learning.</t>
  </si>
  <si>
    <t>A psychologically safe culture exists; mistakes are seen as part of the curve.</t>
  </si>
  <si>
    <t>1-&gt;1, 2-&gt;3, 3-&gt;272</t>
  </si>
  <si>
    <t>Does the IT infrastructure support adoption (UX)?</t>
  </si>
  <si>
    <t>Tools are slow, difficult to access, or heavily restricted by security.</t>
  </si>
  <si>
    <t>Tools work technically, but the user experience is poor or not integrated.</t>
  </si>
  <si>
    <t>AI applications are seamlessly integrated into daily workflows and software.</t>
  </si>
  <si>
    <t>1-&gt;1, 2-&gt;3, 3-&gt;273</t>
  </si>
  <si>
    <t>Is there a feedback loop between users and the AI team?</t>
  </si>
  <si>
    <t>Users have no say in which AI tools are being implemented or purchased.</t>
  </si>
  <si>
    <t>Surveys are conducted, but the input rarely leads to noticeable changes.</t>
  </si>
  <si>
    <t>An agile process exists where user feedback directly leads to tool improvement.</t>
  </si>
  <si>
    <t>1-&gt;1, 2-&gt;3, 3-&gt;274</t>
  </si>
  <si>
    <t>Is there a dedicated Change Management team for the AI transformation?</t>
  </si>
  <si>
    <t>No change management present; it is run strictly as an IT/Data project.</t>
  </si>
  <si>
    <t>A project leader or HR staff member does "change" as a side task.</t>
  </si>
  <si>
    <t>Certified Change Managers drive the project based on ADKAR measurements.</t>
  </si>
  <si>
    <t>1-&gt;1, 2-&gt;3, 3-&gt;275</t>
  </si>
  <si>
    <t>Are resistance points actively and proactively managed?</t>
  </si>
  <si>
    <t>Resistance is seen as obstruction; employees are bypassed or ignored.</t>
  </si>
  <si>
    <t>Resistance is recognized, but the approach is reactive (firefighting).</t>
  </si>
  <si>
    <t>A proactive plan is in place to identify and resolve the root causes of resistance.</t>
  </si>
  <si>
    <t>1-&gt;1, 2-&gt;3, 3-&gt;276</t>
  </si>
  <si>
    <t>How is the adoption rate measured (qualitative/quantitative)?</t>
  </si>
  <si>
    <t>Adoption is not measured; management only tracks license distribution.</t>
  </si>
  <si>
    <t>Focus is on login stats, but not on the quality of usage or behavior change.</t>
  </si>
  <si>
    <t>Structural measurement of behavioral change, efficiency, and satisfaction.</t>
  </si>
  <si>
    <t>1-&gt;1, 2-&gt;3, 3-&gt;277</t>
  </si>
  <si>
    <t>Are middle managers trained in their role as change leaders?</t>
  </si>
  <si>
    <t>Middle managers are bypassed in the communication stream.</t>
  </si>
  <si>
    <t>Managers are informed but not trained to coach their teams through the change.</t>
  </si>
  <si>
    <t>Managers are trained as Change Leaders and actively facilitate the transition.</t>
  </si>
  <si>
    <t>1-&gt;1, 2-&gt;3, 3-&gt;278</t>
  </si>
  <si>
    <t>Is the adoption plan scalable for future AI updates?</t>
  </si>
  <si>
    <t>The plan is a one-time action for a specific tool or pilot project.</t>
  </si>
  <si>
    <t>The plan is somewhat flexible but must be reinvented for every new update.</t>
  </si>
  <si>
    <t>The organization has built a "change capability" for continuous AI evolution.</t>
  </si>
  <si>
    <t>1-&gt;1, 2-&gt;3, 3-&gt;279</t>
  </si>
  <si>
    <t>Is delivery of POCs and Pilots in place?</t>
  </si>
  <si>
    <t>The organization struggles to move ideas into working prototypes due to undefined processes.</t>
  </si>
  <si>
    <t>Basic Proofs-of-Concept (POCs) are occasionally delivered, but the process is inconsistent, and there is no formalized, rapid path for graduating a successful POC to a Pilot stage.</t>
  </si>
  <si>
    <t>A streamlined, dedicated process is fully operational for the rapid delivery of Proofs-of-Concept (POCs) and Pilots, complete with defined success criteria and dedicated resources.</t>
  </si>
  <si>
    <t>1-&gt;1, 2-&gt;3, 3-&gt;280</t>
  </si>
  <si>
    <t>Is transition from Pilot to Production in place?</t>
  </si>
  <si>
    <t>Pilots often languish indefinitely, failing to move to production due to a lack of formal hand-off processes, production readiness standards, or dedicated scaling resources.</t>
  </si>
  <si>
    <t>An informal handover occurs between the pilot team and the MLOps/IT team, but the production deployment process is manual and often results in significant refactoring delays.</t>
  </si>
  <si>
    <t>A formal, repeatable, and automated transition process from a successful Pilot environment to a fully supported Production environment is established via MLOps pipelines and defined governance gates.</t>
  </si>
  <si>
    <t>1-&gt;1, 2-&gt;3, 3-&gt;281</t>
  </si>
  <si>
    <t>Is use of AI in Decision-Making in place?</t>
  </si>
  <si>
    <t>AI models are used only for internal analysis or reporting, and are not yet integrated into the actual operational decision-making loops of the business.</t>
  </si>
  <si>
    <t>AI insights are provided to human decision-makers as a recommendation, who must manually accept or reject the output, slowing down the process.</t>
  </si>
  <si>
    <t>AI is actively and reliably used to augment or automate core business decision-making (e.g., pricing, routing, customer service), with clear human oversight and fallback mechanisms.</t>
  </si>
  <si>
    <t>1-&gt;1, 2-&gt;3, 3-&gt;282</t>
  </si>
  <si>
    <t>Are AI projects moving beyond POCs into production?</t>
  </si>
  <si>
    <t>The majority of AI effort is concentrated on unsuccessful or incomplete POCs, leading to "pilot purgatory" and a failure to realize tangible business value.</t>
  </si>
  <si>
    <t>A few low-risk, non-critical models have made it to production, but the process for industrializing the most complex and high-value AI solutions remains challenging.</t>
  </si>
  <si>
    <t>The organization demonstrates a high conversion rate of successful AI projects from Pilot to Production, systematically realizing business value from its machine learning investment.</t>
  </si>
  <si>
    <t>1-&gt;1, 2-&gt;3, 3-&gt;283</t>
  </si>
  <si>
    <t>Are ROI metrics tracked for AI deployments?</t>
  </si>
  <si>
    <t>AI deployments are considered technical successes if they meet accuracy targets, but the actual impact on financial metrics and business value is never measured or reported.</t>
  </si>
  <si>
    <t>Some project managers attempt to track financial benefits, but the methodology is inconsistent, and the ROI calculation is often qualitative and difficult to verify.</t>
  </si>
  <si>
    <t>Rigorous, standardized ROI metrics are tracked and reported for all deployed AI solutions, providing clear accountability and demonstrating the direct financial and strategic value to the business.</t>
  </si>
  <si>
    <t>1-&gt;1, 2-&gt;3, 3-&gt;284</t>
  </si>
  <si>
    <t>Are AI projects integrated into core business processes?</t>
  </si>
  <si>
    <t>Deployed AI models function as standalone tools, requiring users to manually interact with them and then manually input the result into the core operational systems.</t>
  </si>
  <si>
    <t>AI services are available via APIs, but the integration into the native user interface and workflow of core enterprise systems is often clunky or incomplete.</t>
  </si>
  <si>
    <t>AI projects are seamlessly integrated into core business processes and operational systems, making the AI-driven actions a natural, embedded part of the daily user workflow.</t>
  </si>
  <si>
    <t>1-&gt;1, 2-&gt;3, 3-&gt;285</t>
  </si>
  <si>
    <t>Setting</t>
  </si>
  <si>
    <t>Value</t>
  </si>
  <si>
    <t>Tier_1_Name</t>
  </si>
  <si>
    <t>Emerging</t>
  </si>
  <si>
    <t xml:space="preserve">De organisatie erkent het potentieel van AI, maar heeft nog geen formele adoptie of strategie. Er is sprake van nieuwsgierigheid zonder praktische uitvoering. </t>
  </si>
  <si>
    <t>Tier_1_MinPct</t>
  </si>
  <si>
    <t>Tier_1_MaxPct</t>
  </si>
  <si>
    <t>Tier_2_Name</t>
  </si>
  <si>
    <t>Developing</t>
  </si>
  <si>
    <t>Er wordt op afdelingsniveau geëxperimenteerd met pilotprojecten. Teams gebruiken informeel tools zoals Jupyter notebooks voor eerste modellen.</t>
  </si>
  <si>
    <t>Tier_2_MinPct</t>
  </si>
  <si>
    <t>Tier_2_MaxPct</t>
  </si>
  <si>
    <t>Tier_3_Name</t>
  </si>
  <si>
    <t>Accelerating</t>
  </si>
  <si>
    <t xml:space="preserve">AI-modellen zijn geïntegreerd in specifieke bedrijfsprocessen met meetbare resultaten. Er is een team van machine learning engineers en een basis MLOps-infrastructuur aanwezig. </t>
  </si>
  <si>
    <t>Tier_3_MinPct</t>
  </si>
  <si>
    <t>Tier_3_MaxPct</t>
  </si>
  <si>
    <t>Tier_4_Name</t>
  </si>
  <si>
    <t>Leading</t>
  </si>
  <si>
    <t xml:space="preserve">AI is organisatiebreed ingebed en afgestemd op de bedrijfsstrategie. Er is een centrale governance, vaste budgetten en een focus op schaalbaarheid en compliance. </t>
  </si>
  <si>
    <t>Tier_4_MinPct</t>
  </si>
  <si>
    <t>Tier_4_MaxPct</t>
  </si>
  <si>
    <t>Number_of_questions</t>
  </si>
  <si>
    <t>Sum_Weighted_points</t>
  </si>
  <si>
    <t>Sum_Max_points</t>
  </si>
  <si>
    <t>Dimension_Score_0_5</t>
  </si>
  <si>
    <t>Dimension_Score_0_100</t>
  </si>
  <si>
    <t>Score_0_5</t>
  </si>
  <si>
    <t>Score_0_100</t>
  </si>
  <si>
    <t>Metric</t>
  </si>
  <si>
    <t>Overall_Sum_Weighted_points</t>
  </si>
  <si>
    <t>Overall_Sum_Max_points</t>
  </si>
  <si>
    <t>Overall_Score_0_5</t>
  </si>
  <si>
    <t>Overall_Score_0_100</t>
  </si>
  <si>
    <t>Maturity_Tier</t>
  </si>
  <si>
    <t>Questions_answered</t>
  </si>
  <si>
    <t>Questions_total</t>
  </si>
  <si>
    <t>Completion_pct</t>
  </si>
  <si>
    <t>Column</t>
  </si>
  <si>
    <t>Purpose</t>
  </si>
  <si>
    <t>Explanation</t>
  </si>
  <si>
    <t>Example</t>
  </si>
  <si>
    <t>Unique identifier</t>
  </si>
  <si>
    <t>Unique number used to reference and track each question in the assessment.</t>
  </si>
  <si>
    <t>10, 11, 12</t>
  </si>
  <si>
    <t>Assessment domain</t>
  </si>
  <si>
    <t>Groups questions into domains such as Data Readiness, Governance, Technology, etc. Used for radar charts and maturity scoring per domain.</t>
  </si>
  <si>
    <t>Assessment question</t>
  </si>
  <si>
    <t>The actual question used to evaluate the organization’s AI maturity.</t>
  </si>
  <si>
    <t>Low maturity answer</t>
  </si>
  <si>
    <t>Represents the lowest maturity level (early stage / ad‑hoc practices).</t>
  </si>
  <si>
    <t>Data is scattered across systems</t>
  </si>
  <si>
    <t>Medium maturity answer</t>
  </si>
  <si>
    <t>Represents a developing or partially structured maturity level.</t>
  </si>
  <si>
    <t>Some datasets accessible but not standardized</t>
  </si>
  <si>
    <t>High maturity answer</t>
  </si>
  <si>
    <t>Represents the most advanced maturity level with structured processes.</t>
  </si>
  <si>
    <t>Data is governed and fully accessible</t>
  </si>
  <si>
    <t>Answer_type</t>
  </si>
  <si>
    <t>Question format</t>
  </si>
  <si>
    <t>Defines how the question should be answered (e.g. single choice).</t>
  </si>
  <si>
    <t>Required_docs</t>
  </si>
  <si>
    <t>Evidence guidance</t>
  </si>
  <si>
    <t>Lists documents that could demonstrate proof for the answer.</t>
  </si>
  <si>
    <t>AI Governance Policy</t>
  </si>
  <si>
    <t>Requires_evidence_boolean</t>
  </si>
  <si>
    <t>Evidence requirement flag</t>
  </si>
  <si>
    <t>Indicates whether documentation evidence is required to support the answer.</t>
  </si>
  <si>
    <t>TRUE / FALSE</t>
  </si>
  <si>
    <t>AI document search query</t>
  </si>
  <si>
    <t>Query used by an AI system to search documentation repositories to find evidence.</t>
  </si>
  <si>
    <t>Find documentation describing AI governance policy</t>
  </si>
  <si>
    <t>Expected evidence description</t>
  </si>
  <si>
    <t>Defines what type of document or proof should be found.</t>
  </si>
  <si>
    <t>Documented AI governance framework</t>
  </si>
  <si>
    <t>Scoring_rule</t>
  </si>
  <si>
    <t>Scoring logic</t>
  </si>
  <si>
    <t>Defines how answer options translate into numeric maturity scores.</t>
  </si>
  <si>
    <t>weight</t>
  </si>
  <si>
    <t>Question importance</t>
  </si>
  <si>
    <t>Weight applied to the score when calculating weighted maturity results.</t>
  </si>
  <si>
    <t>1</t>
  </si>
  <si>
    <t>Calculated numeric score</t>
  </si>
  <si>
    <t>Stores the numeric score calculated from the selected option.</t>
  </si>
  <si>
    <t>3</t>
  </si>
  <si>
    <t>Notes</t>
  </si>
  <si>
    <t>Additional comments</t>
  </si>
  <si>
    <t>Free text field used for remarks, version notes, or marking newly added questions.</t>
  </si>
  <si>
    <t>NEW question added</t>
  </si>
  <si>
    <t>Chosen answer</t>
  </si>
  <si>
    <t>Stores the option selected by the assessor or respondent.</t>
  </si>
  <si>
    <t>2</t>
  </si>
  <si>
    <t>Score from selected answer</t>
  </si>
  <si>
    <t>Score corresponding to the chosen option according to the scoring rule.</t>
  </si>
  <si>
    <t>Weighted score</t>
  </si>
  <si>
    <t>Points multiplied by weight to emphasize important questions.</t>
  </si>
  <si>
    <t>6</t>
  </si>
  <si>
    <t>Maximum possible score</t>
  </si>
  <si>
    <t>Maximum score possible for the question.</t>
  </si>
  <si>
    <t>5</t>
  </si>
  <si>
    <t>Normalized maturity score</t>
  </si>
  <si>
    <t>Score normalized on a 0‑5 scale to allow comparisons across dimensions.</t>
  </si>
  <si>
    <t>4.2</t>
  </si>
  <si>
    <t>Framework mapping</t>
  </si>
  <si>
    <t>Indicates whether the question supports EU AI Act requirements.</t>
  </si>
  <si>
    <t>Indicates whether the question relates to the NIST AI Risk Management Framework.</t>
  </si>
  <si>
    <t>Indicates whether the question relates to ISO/IEC 42001 AI management systems.</t>
  </si>
  <si>
    <t>Indicates whether the question relates to AI Trust, Risk &amp; Security Management practices.</t>
  </si>
  <si>
    <t>Maturity_Area</t>
  </si>
  <si>
    <t>Analysis grouping</t>
  </si>
  <si>
    <t>High‑level grouping used for reporting and analysis across maturity areas.</t>
  </si>
  <si>
    <t>Governance</t>
  </si>
  <si>
    <t>AI Maturity Dashboard — Straightable Innovation &amp; Strategy</t>
  </si>
  <si>
    <t>TOTAALSCORE</t>
  </si>
  <si>
    <t>VOLTOOIING ASSESSMENT</t>
  </si>
  <si>
    <t>Score (0–5)</t>
  </si>
  <si>
    <t>Vragen beantwoord</t>
  </si>
  <si>
    <t>Score (0–100%)</t>
  </si>
  <si>
    <t>Voltooiingspercentage</t>
  </si>
  <si>
    <t>Maturiteitsniveau</t>
  </si>
  <si>
    <t>SCORES PER DIMENSIE</t>
  </si>
  <si>
    <t>Dimensie</t>
  </si>
  <si>
    <t>Score (%)</t>
  </si>
  <si>
    <t>Max mogelijke score</t>
  </si>
  <si>
    <t>GAP-ANALYSE — AFSTAND TOT STREEFNIVEAU (80%)</t>
  </si>
  <si>
    <t>Huidige score (%)</t>
  </si>
  <si>
    <t>Streefwaarde (%)</t>
  </si>
  <si>
    <t>GAP (%)</t>
  </si>
  <si>
    <t>Prioriteit</t>
  </si>
  <si>
    <t>80%</t>
  </si>
  <si>
    <t>COMPLIANCE DEKKINGSGRAAD</t>
  </si>
  <si>
    <t>Framework</t>
  </si>
  <si>
    <t>Vragen gedekt</t>
  </si>
  <si>
    <t>Totaal vragen</t>
  </si>
  <si>
    <t>Dekking (%)</t>
  </si>
  <si>
    <t>Gem. score (0–5)</t>
  </si>
  <si>
    <t>EU AI Act</t>
  </si>
  <si>
    <t>NIST AI RMF</t>
  </si>
  <si>
    <t>ISO 42001</t>
  </si>
  <si>
    <t>AI TRiSM</t>
  </si>
  <si>
    <t>Vertrouwelijk — Straightable Innovatie &amp; Strategie — Automatisch berekend op basis van ingevulde antwoorden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</si>
</sst>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quot;"/>
    <numFmt numFmtId="165" formatCode="0&quot;%&quot;"/>
  </numFmts>
  <fonts count="16" x14ac:knownFonts="1">
    <font>
      <sz val="11"/>
      <color theme="1"/>
      <name val="Calibri"/>
      <family val="2"/>
      <scheme val="minor"/>
    </font>
    <font>
      <b/>
      <sz val="11"/>
      <name val="Calibri"/>
      <family val="2"/>
    </font>
    <font>
      <sz val="11"/>
      <color theme="1"/>
      <name val="Calibri"/>
      <family val="2"/>
    </font>
    <font>
      <b/>
      <sz val="11"/>
      <color theme="1"/>
      <name val="Calibri"/>
      <family val="2"/>
      <scheme val="minor"/>
    </font>
    <font>
      <b/>
      <sz val="11"/>
      <color theme="1"/>
      <name val="Calibri"/>
      <family val="2"/>
    </font>
    <font>
      <b/>
      <sz val="16"/>
      <color rgb="FFFFFFFF"/>
      <name val="Calibri"/>
    </font>
    <font>
      <b/>
      <sz val="12"/>
      <color rgb="FFFFFFFF"/>
      <name val="Calibri"/>
    </font>
    <font>
      <b/>
      <sz val="11"/>
      <color rgb="FF000000"/>
      <name val="Calibri"/>
    </font>
    <font>
      <b/>
      <sz val="14"/>
      <color rgb="FF1B3B6F"/>
      <name val="Calibri"/>
    </font>
    <font>
      <b/>
      <sz val="14"/>
      <color rgb="FFF7941D"/>
      <name val="Calibri"/>
    </font>
    <font>
      <b/>
      <sz val="13"/>
      <color rgb="FF1B3B6F"/>
      <name val="Calibri"/>
    </font>
    <font>
      <b/>
      <sz val="13"/>
      <color rgb="FF000000"/>
      <name val="Calibri"/>
    </font>
    <font>
      <i/>
      <sz val="11"/>
      <color rgb="FF000000"/>
      <name val="Calibri"/>
    </font>
    <font>
      <b/>
      <sz val="11"/>
      <color rgb="FFFFFFFF"/>
      <name val="Calibri"/>
    </font>
    <font>
      <sz val="11"/>
      <color rgb="FF000000"/>
      <name val="Calibri"/>
    </font>
    <font>
      <i/>
      <sz val="9"/>
      <color rgb="FF888888"/>
      <name val="Calibri"/>
    </font>
  </fonts>
  <fills count="11">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rgb="FFF9FBFD"/>
        <bgColor indexed="64"/>
      </patternFill>
    </fill>
    <fill>
      <patternFill patternType="solid">
        <fgColor theme="0" tint="-4.9989318521683403E-2"/>
        <bgColor indexed="65"/>
      </patternFill>
    </fill>
    <fill>
      <patternFill patternType="solid">
        <fgColor rgb="FFF9FBFD"/>
      </patternFill>
    </fill>
    <fill>
      <patternFill patternType="solid">
        <fgColor rgb="FF1B3B6F"/>
      </patternFill>
    </fill>
    <fill>
      <patternFill patternType="solid">
        <fgColor rgb="FFF2F2F2"/>
      </patternFill>
    </fill>
    <fill>
      <patternFill patternType="solid">
        <fgColor rgb="FFFFFFFF"/>
      </patternFill>
    </fill>
    <fill>
      <patternFill patternType="solid">
        <fgColor rgb="FFF7941D"/>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style="thin">
        <color theme="0"/>
      </right>
      <top/>
      <bottom style="thin">
        <color theme="0"/>
      </bottom>
      <diagonal/>
    </border>
    <border>
      <left style="thin">
        <color rgb="FFE0E0E0"/>
      </left>
      <right style="thin">
        <color rgb="FFE0E0E0"/>
      </right>
      <top style="thin">
        <color rgb="FFE0E0E0"/>
      </top>
      <bottom style="thin">
        <color rgb="FFE0E0E0"/>
      </bottom>
      <diagonal/>
    </border>
    <border>
      <left style="thin">
        <color rgb="FFE0E0E0"/>
      </left>
      <right style="thin">
        <color rgb="FFE0E0E0"/>
      </right>
      <top style="thin">
        <color rgb="FFE0E0E0"/>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8">
    <xf numFmtId="0" fontId="0" fillId="0" borderId="0" xfId="0"/>
    <xf numFmtId="0" fontId="1" fillId="0" borderId="0" xfId="0" applyFont="1" applyAlignment="1">
      <alignment vertical="center"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center"/>
    </xf>
    <xf numFmtId="0" fontId="0" fillId="0" borderId="0" xfId="0" applyAlignment="1">
      <alignment wrapText="1"/>
    </xf>
    <xf numFmtId="0" fontId="2" fillId="4" borderId="8" xfId="0" applyFont="1" applyFill="1" applyBorder="1" applyAlignment="1">
      <alignment horizontal="left" vertical="top" wrapText="1"/>
    </xf>
    <xf numFmtId="0" fontId="2" fillId="0" borderId="8" xfId="0" applyFont="1" applyBorder="1" applyAlignment="1">
      <alignment vertical="top"/>
    </xf>
    <xf numFmtId="0" fontId="2" fillId="0" borderId="8" xfId="0" applyFont="1" applyBorder="1" applyAlignment="1">
      <alignment vertical="top" wrapText="1"/>
    </xf>
    <xf numFmtId="0" fontId="2" fillId="4" borderId="8" xfId="0" applyFont="1" applyFill="1" applyBorder="1" applyAlignment="1">
      <alignment vertical="top" wrapText="1"/>
    </xf>
    <xf numFmtId="0" fontId="2" fillId="2" borderId="1" xfId="0" applyFont="1" applyFill="1" applyBorder="1" applyAlignment="1">
      <alignment vertical="top"/>
    </xf>
    <xf numFmtId="0" fontId="2" fillId="2" borderId="5" xfId="0" applyFont="1" applyFill="1" applyBorder="1" applyAlignment="1">
      <alignment vertical="top"/>
    </xf>
    <xf numFmtId="0" fontId="2" fillId="0" borderId="8" xfId="0" applyFont="1" applyBorder="1" applyAlignment="1">
      <alignment horizontal="left" vertical="top" wrapText="1"/>
    </xf>
    <xf numFmtId="0" fontId="3" fillId="2" borderId="1" xfId="0" applyFont="1" applyFill="1" applyBorder="1" applyAlignment="1">
      <alignment textRotation="180"/>
    </xf>
    <xf numFmtId="0" fontId="3" fillId="2" borderId="5" xfId="0" applyFont="1" applyFill="1" applyBorder="1" applyAlignment="1">
      <alignment textRotation="180"/>
    </xf>
    <xf numFmtId="0" fontId="4" fillId="4" borderId="8" xfId="0" applyFont="1" applyFill="1" applyBorder="1" applyAlignment="1">
      <alignment horizontal="center" vertical="top" textRotation="180" wrapText="1"/>
    </xf>
    <xf numFmtId="0" fontId="4" fillId="0" borderId="8" xfId="0" applyFont="1" applyBorder="1" applyAlignment="1">
      <alignment vertical="center" wrapText="1"/>
    </xf>
    <xf numFmtId="0" fontId="4" fillId="4" borderId="8" xfId="0" applyFont="1" applyFill="1" applyBorder="1" applyAlignment="1">
      <alignment horizontal="left" vertical="center" wrapText="1"/>
    </xf>
    <xf numFmtId="0" fontId="4" fillId="4" borderId="8" xfId="0" applyFont="1" applyFill="1" applyBorder="1" applyAlignment="1">
      <alignment vertical="center" wrapText="1"/>
    </xf>
    <xf numFmtId="0" fontId="4" fillId="3" borderId="7" xfId="0" applyFont="1" applyFill="1" applyBorder="1" applyAlignment="1">
      <alignment horizontal="center" vertical="center" textRotation="180" wrapText="1"/>
    </xf>
    <xf numFmtId="0" fontId="4" fillId="3" borderId="3" xfId="0" applyFont="1" applyFill="1" applyBorder="1" applyAlignment="1">
      <alignment horizontal="center" vertical="center" textRotation="180" wrapText="1"/>
    </xf>
    <xf numFmtId="0" fontId="0" fillId="4" borderId="8" xfId="0" applyFill="1" applyBorder="1" applyAlignment="1">
      <alignment horizontal="center" vertical="top"/>
    </xf>
    <xf numFmtId="0" fontId="0" fillId="0" borderId="8" xfId="0" applyBorder="1" applyAlignment="1">
      <alignment vertical="top"/>
    </xf>
    <xf numFmtId="0" fontId="0" fillId="0" borderId="8" xfId="0" applyBorder="1" applyAlignment="1">
      <alignment vertical="top" wrapText="1"/>
    </xf>
    <xf numFmtId="0" fontId="0" fillId="4" borderId="8" xfId="0" applyFill="1" applyBorder="1" applyAlignment="1">
      <alignment vertical="top" wrapText="1"/>
    </xf>
    <xf numFmtId="0" fontId="0" fillId="3" borderId="4" xfId="0" applyFill="1" applyBorder="1" applyAlignment="1">
      <alignment vertical="top"/>
    </xf>
    <xf numFmtId="0" fontId="0" fillId="3" borderId="1" xfId="0" applyFill="1" applyBorder="1" applyAlignment="1">
      <alignment vertical="top"/>
    </xf>
    <xf numFmtId="0" fontId="0" fillId="2" borderId="1" xfId="0" applyFill="1" applyBorder="1" applyAlignment="1">
      <alignment vertical="top"/>
    </xf>
    <xf numFmtId="0" fontId="0" fillId="2" borderId="5" xfId="0" applyFill="1" applyBorder="1" applyAlignment="1">
      <alignment vertical="top"/>
    </xf>
    <xf numFmtId="0" fontId="0" fillId="4" borderId="8" xfId="0" applyFill="1" applyBorder="1" applyAlignment="1">
      <alignment horizontal="left" vertical="top" wrapText="1"/>
    </xf>
    <xf numFmtId="0" fontId="2" fillId="0" borderId="8" xfId="0" applyFont="1" applyBorder="1" applyAlignment="1">
      <alignment horizontal="left" vertical="top"/>
    </xf>
    <xf numFmtId="0" fontId="2" fillId="6" borderId="8" xfId="0" applyFont="1" applyFill="1" applyBorder="1" applyAlignment="1">
      <alignment horizontal="left" vertical="top" wrapText="1"/>
    </xf>
    <xf numFmtId="0" fontId="0" fillId="6" borderId="8" xfId="0" applyFill="1" applyBorder="1" applyAlignment="1">
      <alignment vertical="top" wrapText="1"/>
    </xf>
    <xf numFmtId="0" fontId="0" fillId="5" borderId="1" xfId="0" applyFill="1" applyBorder="1" applyAlignment="1">
      <alignment vertical="top"/>
    </xf>
    <xf numFmtId="0" fontId="0" fillId="5" borderId="5" xfId="0" applyFill="1" applyBorder="1" applyAlignment="1">
      <alignment vertical="top"/>
    </xf>
    <xf numFmtId="0" fontId="0" fillId="0" borderId="9" xfId="0" applyBorder="1" applyAlignment="1">
      <alignment vertical="top"/>
    </xf>
    <xf numFmtId="0" fontId="0" fillId="0" borderId="9" xfId="0" applyBorder="1" applyAlignment="1">
      <alignment vertical="top" wrapText="1"/>
    </xf>
    <xf numFmtId="0" fontId="0" fillId="6" borderId="9" xfId="0" applyFill="1" applyBorder="1" applyAlignment="1">
      <alignment vertical="top" wrapText="1"/>
    </xf>
    <xf numFmtId="0" fontId="0" fillId="5" borderId="2" xfId="0" applyFill="1" applyBorder="1" applyAlignment="1">
      <alignment vertical="top"/>
    </xf>
    <xf numFmtId="0" fontId="0" fillId="5" borderId="6" xfId="0" applyFill="1" applyBorder="1" applyAlignment="1">
      <alignment vertical="top"/>
    </xf>
    <xf numFmtId="0" fontId="2" fillId="6" borderId="0" xfId="0" applyFont="1" applyFill="1" applyAlignment="1">
      <alignment horizontal="left" vertical="top" wrapText="1"/>
    </xf>
    <xf numFmtId="0" fontId="0" fillId="6" borderId="0" xfId="0" applyFill="1" applyAlignment="1">
      <alignment vertical="top" wrapText="1"/>
    </xf>
    <xf numFmtId="0" fontId="0" fillId="5" borderId="0" xfId="0" applyFill="1" applyAlignment="1">
      <alignment vertical="top"/>
    </xf>
    <xf numFmtId="0" fontId="0" fillId="6" borderId="8" xfId="0" applyFill="1" applyBorder="1" applyAlignment="1">
      <alignment horizontal="left" vertical="top" wrapText="1"/>
    </xf>
    <xf numFmtId="0" fontId="0" fillId="4" borderId="0" xfId="0" applyFill="1" applyAlignment="1">
      <alignment vertical="top" wrapText="1"/>
    </xf>
    <xf numFmtId="0" fontId="0" fillId="2" borderId="0" xfId="0" applyFill="1" applyAlignment="1">
      <alignment vertical="top"/>
    </xf>
    <xf numFmtId="0" fontId="0" fillId="4" borderId="0" xfId="0" applyFill="1" applyAlignment="1">
      <alignment horizontal="left" vertical="top" wrapText="1"/>
    </xf>
    <xf numFmtId="0" fontId="0" fillId="4" borderId="0" xfId="0" applyFill="1" applyAlignment="1">
      <alignment horizontal="left" wrapText="1"/>
    </xf>
    <xf numFmtId="0" fontId="0" fillId="4" borderId="0" xfId="0" applyFill="1"/>
    <xf numFmtId="0" fontId="0" fillId="2" borderId="0" xfId="0" applyFill="1"/>
    <xf numFmtId="0" fontId="0" fillId="4" borderId="0" xfId="0" applyFill="1" applyAlignment="1">
      <alignment horizontal="center"/>
    </xf>
    <xf numFmtId="0" fontId="0" fillId="3" borderId="0" xfId="0" applyFill="1"/>
    <xf numFmtId="0" fontId="0" fillId="3" borderId="0" xfId="0" applyFill="1" applyAlignment="1">
      <alignment vertical="top"/>
    </xf>
    <xf numFmtId="0" fontId="7" fillId="8" borderId="10" xfId="0" applyFont="1" applyFill="1" applyBorder="1" applyAlignment="1">
      <alignment horizontal="center" vertical="center"/>
    </xf>
    <xf numFmtId="2" fontId="8" fillId="9" borderId="10" xfId="0" applyNumberFormat="1" applyFont="1" applyFill="1" applyBorder="1" applyAlignment="1">
      <alignment horizontal="center" vertical="center"/>
    </xf>
    <xf numFmtId="0" fontId="11" fillId="9" borderId="10" xfId="0" applyFont="1" applyFill="1" applyBorder="1" applyAlignment="1">
      <alignment horizontal="center" vertical="center"/>
    </xf>
    <xf numFmtId="0" fontId="12" fillId="9" borderId="10" xfId="0" applyFont="1" applyFill="1" applyBorder="1" applyAlignment="1">
      <alignment horizontal="center" vertical="center"/>
    </xf>
    <xf numFmtId="164" fontId="9" fillId="9" borderId="10" xfId="0" applyNumberFormat="1" applyFont="1" applyFill="1" applyBorder="1" applyAlignment="1">
      <alignment horizontal="center" vertical="center"/>
    </xf>
    <xf numFmtId="164" fontId="10" fillId="9" borderId="10" xfId="0" applyNumberFormat="1" applyFont="1" applyFill="1" applyBorder="1" applyAlignment="1">
      <alignment horizontal="center" vertical="center"/>
    </xf>
    <xf numFmtId="0" fontId="10" fillId="9" borderId="10" xfId="0" applyFont="1" applyFill="1" applyBorder="1" applyAlignment="1">
      <alignment horizontal="center" vertical="center"/>
    </xf>
    <xf numFmtId="0" fontId="13" fillId="10" borderId="10" xfId="0" applyFont="1" applyFill="1" applyBorder="1" applyAlignment="1">
      <alignment horizontal="center" vertical="center"/>
    </xf>
    <xf numFmtId="0" fontId="7" fillId="8" borderId="10" xfId="0" applyFont="1" applyFill="1" applyBorder="1" applyAlignment="1">
      <alignment horizontal="left" vertical="center" wrapText="1"/>
    </xf>
    <xf numFmtId="2" fontId="14" fillId="8" borderId="10" xfId="0" applyNumberFormat="1" applyFont="1" applyFill="1" applyBorder="1" applyAlignment="1">
      <alignment horizontal="center" vertical="center"/>
    </xf>
    <xf numFmtId="164" fontId="14" fillId="8" borderId="10" xfId="0" applyNumberFormat="1" applyFont="1" applyFill="1" applyBorder="1" applyAlignment="1">
      <alignment horizontal="center" vertical="center"/>
    </xf>
    <xf numFmtId="0" fontId="14" fillId="8" borderId="10" xfId="0" applyFont="1" applyFill="1" applyBorder="1" applyAlignment="1">
      <alignment horizontal="center" vertical="center"/>
    </xf>
    <xf numFmtId="0" fontId="7" fillId="9" borderId="10" xfId="0" applyFont="1" applyFill="1" applyBorder="1" applyAlignment="1">
      <alignment horizontal="left" vertical="center" wrapText="1"/>
    </xf>
    <xf numFmtId="2" fontId="14" fillId="9" borderId="10" xfId="0" applyNumberFormat="1" applyFont="1" applyFill="1" applyBorder="1" applyAlignment="1">
      <alignment horizontal="center" vertical="center"/>
    </xf>
    <xf numFmtId="164" fontId="14" fillId="9" borderId="10" xfId="0" applyNumberFormat="1" applyFont="1" applyFill="1" applyBorder="1" applyAlignment="1">
      <alignment horizontal="center" vertical="center"/>
    </xf>
    <xf numFmtId="0" fontId="14" fillId="9" borderId="10" xfId="0" applyFont="1" applyFill="1" applyBorder="1" applyAlignment="1">
      <alignment horizontal="center" vertical="center"/>
    </xf>
    <xf numFmtId="0" fontId="7" fillId="9" borderId="10" xfId="0" applyFont="1" applyFill="1" applyBorder="1" applyAlignment="1">
      <alignment horizontal="center" vertical="center"/>
    </xf>
    <xf numFmtId="165" fontId="14" fillId="8" borderId="10" xfId="0" applyNumberFormat="1" applyFont="1" applyFill="1" applyBorder="1" applyAlignment="1">
      <alignment horizontal="center" vertical="center"/>
    </xf>
    <xf numFmtId="165" fontId="14" fillId="9" borderId="10" xfId="0" applyNumberFormat="1" applyFont="1" applyFill="1" applyBorder="1" applyAlignment="1">
      <alignment horizontal="center" vertical="center"/>
    </xf>
    <xf numFmtId="0" fontId="7" fillId="9" borderId="10" xfId="0" applyFont="1" applyFill="1" applyBorder="1" applyAlignment="1">
      <alignment horizontal="left" vertical="center"/>
    </xf>
    <xf numFmtId="0" fontId="7" fillId="8" borderId="10" xfId="0" applyFont="1" applyFill="1" applyBorder="1" applyAlignment="1">
      <alignment horizontal="left" vertical="center"/>
    </xf>
    <xf numFmtId="0" fontId="15" fillId="0" borderId="0" xfId="0" applyFont="1" applyAlignment="1">
      <alignment horizontal="center"/>
    </xf>
    <xf numFmtId="0" fontId="0" fillId="0" borderId="0" xfId="0"/>
    <xf numFmtId="0" fontId="5" fillId="7" borderId="0" xfId="0" applyFont="1" applyFill="1" applyAlignment="1">
      <alignment horizontal="center" vertical="center"/>
    </xf>
    <xf numFmtId="0" fontId="6" fillId="7" borderId="0" xfId="0" applyFont="1" applyFill="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darData" displayName="RadarData" ref="A1:C8">
  <autoFilter ref="A1:C8" xr:uid="{00000000-0009-0000-0100-000001000000}"/>
  <tableColumns count="3">
    <tableColumn id="1" xr3:uid="{00000000-0010-0000-0000-000001000000}" name="Dimension"/>
    <tableColumn id="2" xr3:uid="{00000000-0010-0000-0000-000002000000}" name="Score_0_5"/>
    <tableColumn id="3" xr3:uid="{00000000-0010-0000-0000-000003000000}" name="Score_0_10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66"/>
  <sheetViews>
    <sheetView zoomScale="92" zoomScaleNormal="90" workbookViewId="0">
      <pane ySplit="1" topLeftCell="A2" activePane="bottomLeft" state="frozen"/>
      <selection pane="bottomLeft" activeCell="A268" sqref="A268:XFD269"/>
    </sheetView>
  </sheetViews>
  <sheetFormatPr defaultColWidth="0" defaultRowHeight="15" zeroHeight="1" x14ac:dyDescent="0.25"/>
  <cols>
    <col min="1" max="1" width="7.28515625" style="50" customWidth="1"/>
    <col min="2" max="2" width="33.28515625" bestFit="1" customWidth="1"/>
    <col min="3" max="3" width="33.42578125" style="47" customWidth="1"/>
    <col min="4" max="4" width="35" customWidth="1"/>
    <col min="5" max="5" width="35" style="48" customWidth="1"/>
    <col min="6" max="6" width="35" customWidth="1"/>
    <col min="7" max="7" width="6.28515625" style="51" bestFit="1" customWidth="1"/>
    <col min="8" max="8" width="14.5703125" style="51" bestFit="1" customWidth="1"/>
    <col min="9" max="11" width="6.28515625" style="51" bestFit="1" customWidth="1"/>
    <col min="12" max="12" width="9.140625" style="52" bestFit="1" customWidth="1"/>
    <col min="13" max="16" width="6.28515625" style="51" bestFit="1" customWidth="1"/>
    <col min="17" max="17" width="9.140625" style="51" bestFit="1" customWidth="1"/>
    <col min="18" max="19" width="4.140625" style="49" bestFit="1" customWidth="1"/>
    <col min="20" max="20" width="4.7109375" style="49" customWidth="1"/>
    <col min="21" max="21" width="4.140625" style="49" bestFit="1" customWidth="1"/>
    <col min="22" max="22" width="4.5703125" customWidth="1"/>
    <col min="23" max="27" width="9.140625" hidden="1" customWidth="1"/>
    <col min="28" max="16384" width="9.140625" hidden="1"/>
  </cols>
  <sheetData>
    <row r="1" spans="1:21" ht="109.5" customHeight="1" x14ac:dyDescent="0.25">
      <c r="A1" s="15" t="s">
        <v>0</v>
      </c>
      <c r="B1" s="16" t="s">
        <v>1</v>
      </c>
      <c r="C1" s="17" t="s">
        <v>2</v>
      </c>
      <c r="D1" s="16" t="s">
        <v>3</v>
      </c>
      <c r="E1" s="18" t="s">
        <v>4</v>
      </c>
      <c r="F1" s="16" t="s">
        <v>5</v>
      </c>
      <c r="G1" s="19" t="s">
        <v>6</v>
      </c>
      <c r="H1" s="20" t="s">
        <v>7</v>
      </c>
      <c r="I1" s="20" t="s">
        <v>8</v>
      </c>
      <c r="J1" s="20" t="s">
        <v>9</v>
      </c>
      <c r="K1" s="20" t="s">
        <v>10</v>
      </c>
      <c r="L1" s="20" t="s">
        <v>11</v>
      </c>
      <c r="M1" s="20" t="s">
        <v>12</v>
      </c>
      <c r="N1" s="20" t="s">
        <v>13</v>
      </c>
      <c r="O1" s="20" t="s">
        <v>14</v>
      </c>
      <c r="P1" s="20" t="s">
        <v>15</v>
      </c>
      <c r="Q1" s="20" t="s">
        <v>16</v>
      </c>
      <c r="R1" s="13" t="s">
        <v>17</v>
      </c>
      <c r="S1" s="13" t="s">
        <v>18</v>
      </c>
      <c r="T1" s="13" t="s">
        <v>19</v>
      </c>
      <c r="U1" s="14" t="s">
        <v>20</v>
      </c>
    </row>
    <row r="2" spans="1:21" ht="135" customHeight="1" x14ac:dyDescent="0.25">
      <c r="A2" s="21">
        <v>1</v>
      </c>
      <c r="B2" s="22" t="s">
        <v>21</v>
      </c>
      <c r="C2" s="6" t="s">
        <v>22</v>
      </c>
      <c r="D2" s="23" t="s">
        <v>23</v>
      </c>
      <c r="E2" s="24" t="s">
        <v>24</v>
      </c>
      <c r="F2" s="23" t="s">
        <v>25</v>
      </c>
      <c r="G2" s="25" t="s">
        <v>26</v>
      </c>
      <c r="H2" s="26" t="s">
        <v>27</v>
      </c>
      <c r="I2" s="26"/>
      <c r="J2" s="26"/>
      <c r="K2" s="26">
        <v>5</v>
      </c>
      <c r="L2" s="26">
        <f t="shared" ref="L2:L65" si="0">IF(M2="",0,N2)</f>
        <v>0</v>
      </c>
      <c r="M2" s="26"/>
      <c r="N2" s="26" t="str">
        <f t="shared" ref="N2:N65" si="1">IF(M2="", "", IF(M2=1,1,IF(M2=2,3,IF(M2=3,5,""))))</f>
        <v/>
      </c>
      <c r="O2" s="26" t="str">
        <f t="shared" ref="O2:O65" si="2">IF(M2="", "", N2 * IF(K2="",1,K2))</f>
        <v/>
      </c>
      <c r="P2" s="26">
        <f t="shared" ref="P2:P65" si="3">5 * IF(K2="",1,K2)</f>
        <v>25</v>
      </c>
      <c r="Q2" s="26" t="str">
        <f t="shared" ref="Q2:Q65" si="4">IF(M2="", "", (O2 / P2) * 5)</f>
        <v/>
      </c>
      <c r="R2" s="27" t="s">
        <v>28</v>
      </c>
      <c r="S2" s="27" t="s">
        <v>28</v>
      </c>
      <c r="T2" s="27" t="s">
        <v>28</v>
      </c>
      <c r="U2" s="28" t="s">
        <v>28</v>
      </c>
    </row>
    <row r="3" spans="1:21" ht="105" customHeight="1" x14ac:dyDescent="0.25">
      <c r="A3" s="21">
        <v>2</v>
      </c>
      <c r="B3" s="22" t="s">
        <v>21</v>
      </c>
      <c r="C3" s="29" t="s">
        <v>29</v>
      </c>
      <c r="D3" s="23" t="s">
        <v>30</v>
      </c>
      <c r="E3" s="24" t="s">
        <v>31</v>
      </c>
      <c r="F3" s="23" t="s">
        <v>32</v>
      </c>
      <c r="G3" s="25" t="s">
        <v>26</v>
      </c>
      <c r="H3" s="26" t="s">
        <v>33</v>
      </c>
      <c r="I3" s="26"/>
      <c r="J3" s="26"/>
      <c r="K3" s="26">
        <v>4</v>
      </c>
      <c r="L3" s="26">
        <f t="shared" si="0"/>
        <v>0</v>
      </c>
      <c r="M3" s="26"/>
      <c r="N3" s="26" t="str">
        <f t="shared" si="1"/>
        <v/>
      </c>
      <c r="O3" s="26" t="str">
        <f t="shared" si="2"/>
        <v/>
      </c>
      <c r="P3" s="26">
        <f t="shared" si="3"/>
        <v>20</v>
      </c>
      <c r="Q3" s="26" t="str">
        <f t="shared" si="4"/>
        <v/>
      </c>
      <c r="R3" s="27" t="s">
        <v>28</v>
      </c>
      <c r="S3" s="27" t="s">
        <v>28</v>
      </c>
      <c r="T3" s="27" t="s">
        <v>28</v>
      </c>
      <c r="U3" s="28" t="s">
        <v>28</v>
      </c>
    </row>
    <row r="4" spans="1:21" ht="93.6" customHeight="1" x14ac:dyDescent="0.25">
      <c r="A4" s="21">
        <v>3</v>
      </c>
      <c r="B4" s="22" t="s">
        <v>21</v>
      </c>
      <c r="C4" s="29" t="s">
        <v>34</v>
      </c>
      <c r="D4" s="23" t="s">
        <v>35</v>
      </c>
      <c r="E4" s="24" t="s">
        <v>36</v>
      </c>
      <c r="F4" s="23" t="s">
        <v>37</v>
      </c>
      <c r="G4" s="25" t="s">
        <v>26</v>
      </c>
      <c r="H4" s="26" t="s">
        <v>38</v>
      </c>
      <c r="I4" s="26"/>
      <c r="J4" s="26"/>
      <c r="K4" s="26">
        <v>4</v>
      </c>
      <c r="L4" s="26">
        <f t="shared" si="0"/>
        <v>0</v>
      </c>
      <c r="M4" s="26"/>
      <c r="N4" s="26" t="str">
        <f t="shared" si="1"/>
        <v/>
      </c>
      <c r="O4" s="26" t="str">
        <f t="shared" si="2"/>
        <v/>
      </c>
      <c r="P4" s="26">
        <f t="shared" si="3"/>
        <v>20</v>
      </c>
      <c r="Q4" s="26" t="str">
        <f t="shared" si="4"/>
        <v/>
      </c>
      <c r="R4" s="27" t="s">
        <v>28</v>
      </c>
      <c r="S4" s="27" t="s">
        <v>28</v>
      </c>
      <c r="T4" s="27" t="s">
        <v>28</v>
      </c>
      <c r="U4" s="28"/>
    </row>
    <row r="5" spans="1:21" ht="105" customHeight="1" x14ac:dyDescent="0.25">
      <c r="A5" s="21">
        <v>4</v>
      </c>
      <c r="B5" s="22" t="s">
        <v>21</v>
      </c>
      <c r="C5" s="6" t="s">
        <v>39</v>
      </c>
      <c r="D5" s="23" t="s">
        <v>40</v>
      </c>
      <c r="E5" s="24" t="s">
        <v>41</v>
      </c>
      <c r="F5" s="23" t="s">
        <v>42</v>
      </c>
      <c r="G5" s="25" t="s">
        <v>26</v>
      </c>
      <c r="H5" s="26" t="s">
        <v>43</v>
      </c>
      <c r="I5" s="26"/>
      <c r="J5" s="26"/>
      <c r="K5" s="26">
        <v>5</v>
      </c>
      <c r="L5" s="26">
        <f t="shared" si="0"/>
        <v>0</v>
      </c>
      <c r="M5" s="26"/>
      <c r="N5" s="26" t="str">
        <f t="shared" si="1"/>
        <v/>
      </c>
      <c r="O5" s="26" t="str">
        <f t="shared" si="2"/>
        <v/>
      </c>
      <c r="P5" s="26">
        <f t="shared" si="3"/>
        <v>25</v>
      </c>
      <c r="Q5" s="26" t="str">
        <f t="shared" si="4"/>
        <v/>
      </c>
      <c r="R5" s="27" t="s">
        <v>28</v>
      </c>
      <c r="S5" s="27" t="s">
        <v>28</v>
      </c>
      <c r="T5" s="27" t="s">
        <v>28</v>
      </c>
      <c r="U5" s="28" t="s">
        <v>28</v>
      </c>
    </row>
    <row r="6" spans="1:21" ht="90" customHeight="1" x14ac:dyDescent="0.25">
      <c r="A6" s="21">
        <v>5</v>
      </c>
      <c r="B6" s="22" t="s">
        <v>21</v>
      </c>
      <c r="C6" s="29" t="s">
        <v>44</v>
      </c>
      <c r="D6" s="23" t="s">
        <v>40</v>
      </c>
      <c r="E6" s="24" t="s">
        <v>45</v>
      </c>
      <c r="F6" s="23" t="s">
        <v>42</v>
      </c>
      <c r="G6" s="25" t="s">
        <v>26</v>
      </c>
      <c r="H6" s="26" t="s">
        <v>46</v>
      </c>
      <c r="I6" s="26"/>
      <c r="J6" s="26"/>
      <c r="K6" s="26">
        <v>5</v>
      </c>
      <c r="L6" s="26">
        <f t="shared" si="0"/>
        <v>0</v>
      </c>
      <c r="M6" s="26"/>
      <c r="N6" s="26" t="str">
        <f t="shared" si="1"/>
        <v/>
      </c>
      <c r="O6" s="26" t="str">
        <f t="shared" si="2"/>
        <v/>
      </c>
      <c r="P6" s="26">
        <f t="shared" si="3"/>
        <v>25</v>
      </c>
      <c r="Q6" s="26" t="str">
        <f t="shared" si="4"/>
        <v/>
      </c>
      <c r="R6" s="27" t="s">
        <v>28</v>
      </c>
      <c r="S6" s="27" t="s">
        <v>28</v>
      </c>
      <c r="T6" s="27" t="s">
        <v>28</v>
      </c>
      <c r="U6" s="28"/>
    </row>
    <row r="7" spans="1:21" ht="105" customHeight="1" x14ac:dyDescent="0.25">
      <c r="A7" s="21">
        <v>6</v>
      </c>
      <c r="B7" s="22" t="s">
        <v>21</v>
      </c>
      <c r="C7" s="29" t="s">
        <v>47</v>
      </c>
      <c r="D7" s="23" t="s">
        <v>48</v>
      </c>
      <c r="E7" s="24" t="s">
        <v>49</v>
      </c>
      <c r="F7" s="23" t="s">
        <v>50</v>
      </c>
      <c r="G7" s="25" t="s">
        <v>26</v>
      </c>
      <c r="H7" s="26" t="s">
        <v>51</v>
      </c>
      <c r="I7" s="26"/>
      <c r="J7" s="26"/>
      <c r="K7" s="26">
        <v>4</v>
      </c>
      <c r="L7" s="26">
        <f t="shared" si="0"/>
        <v>0</v>
      </c>
      <c r="M7" s="26"/>
      <c r="N7" s="26" t="str">
        <f t="shared" si="1"/>
        <v/>
      </c>
      <c r="O7" s="26" t="str">
        <f t="shared" si="2"/>
        <v/>
      </c>
      <c r="P7" s="26">
        <f t="shared" si="3"/>
        <v>20</v>
      </c>
      <c r="Q7" s="26" t="str">
        <f t="shared" si="4"/>
        <v/>
      </c>
      <c r="R7" s="27" t="s">
        <v>28</v>
      </c>
      <c r="S7" s="27" t="s">
        <v>28</v>
      </c>
      <c r="T7" s="27" t="s">
        <v>28</v>
      </c>
      <c r="U7" s="28" t="s">
        <v>28</v>
      </c>
    </row>
    <row r="8" spans="1:21" ht="105" customHeight="1" x14ac:dyDescent="0.25">
      <c r="A8" s="21">
        <v>7</v>
      </c>
      <c r="B8" s="22" t="s">
        <v>21</v>
      </c>
      <c r="C8" s="6" t="s">
        <v>52</v>
      </c>
      <c r="D8" s="23" t="s">
        <v>53</v>
      </c>
      <c r="E8" s="24" t="s">
        <v>54</v>
      </c>
      <c r="F8" s="23" t="s">
        <v>55</v>
      </c>
      <c r="G8" s="25" t="s">
        <v>26</v>
      </c>
      <c r="H8" s="26" t="s">
        <v>56</v>
      </c>
      <c r="I8" s="26"/>
      <c r="J8" s="26"/>
      <c r="K8" s="26">
        <v>4</v>
      </c>
      <c r="L8" s="26">
        <f t="shared" si="0"/>
        <v>0</v>
      </c>
      <c r="M8" s="26"/>
      <c r="N8" s="26" t="str">
        <f t="shared" si="1"/>
        <v/>
      </c>
      <c r="O8" s="26" t="str">
        <f t="shared" si="2"/>
        <v/>
      </c>
      <c r="P8" s="26">
        <f t="shared" si="3"/>
        <v>20</v>
      </c>
      <c r="Q8" s="26" t="str">
        <f t="shared" si="4"/>
        <v/>
      </c>
      <c r="R8" s="27" t="s">
        <v>28</v>
      </c>
      <c r="S8" s="27" t="s">
        <v>28</v>
      </c>
      <c r="T8" s="27" t="s">
        <v>28</v>
      </c>
      <c r="U8" s="28"/>
    </row>
    <row r="9" spans="1:21" ht="90" customHeight="1" x14ac:dyDescent="0.25">
      <c r="A9" s="21">
        <v>8</v>
      </c>
      <c r="B9" s="22" t="s">
        <v>21</v>
      </c>
      <c r="C9" s="6" t="s">
        <v>57</v>
      </c>
      <c r="D9" s="23" t="s">
        <v>58</v>
      </c>
      <c r="E9" s="24" t="s">
        <v>59</v>
      </c>
      <c r="F9" s="23" t="s">
        <v>60</v>
      </c>
      <c r="G9" s="25" t="s">
        <v>26</v>
      </c>
      <c r="H9" s="26" t="s">
        <v>61</v>
      </c>
      <c r="I9" s="26"/>
      <c r="J9" s="26"/>
      <c r="K9" s="26">
        <v>4</v>
      </c>
      <c r="L9" s="26">
        <f t="shared" si="0"/>
        <v>0</v>
      </c>
      <c r="M9" s="26"/>
      <c r="N9" s="26" t="str">
        <f t="shared" si="1"/>
        <v/>
      </c>
      <c r="O9" s="26" t="str">
        <f t="shared" si="2"/>
        <v/>
      </c>
      <c r="P9" s="26">
        <f t="shared" si="3"/>
        <v>20</v>
      </c>
      <c r="Q9" s="26" t="str">
        <f t="shared" si="4"/>
        <v/>
      </c>
      <c r="R9" s="27" t="s">
        <v>28</v>
      </c>
      <c r="S9" s="27" t="s">
        <v>28</v>
      </c>
      <c r="T9" s="27" t="s">
        <v>28</v>
      </c>
      <c r="U9" s="28"/>
    </row>
    <row r="10" spans="1:21" ht="105" customHeight="1" x14ac:dyDescent="0.25">
      <c r="A10" s="21">
        <v>9</v>
      </c>
      <c r="B10" s="22" t="s">
        <v>21</v>
      </c>
      <c r="C10" s="29" t="s">
        <v>62</v>
      </c>
      <c r="D10" s="23" t="s">
        <v>63</v>
      </c>
      <c r="E10" s="24" t="s">
        <v>64</v>
      </c>
      <c r="F10" s="23" t="s">
        <v>65</v>
      </c>
      <c r="G10" s="25" t="s">
        <v>26</v>
      </c>
      <c r="H10" s="26" t="s">
        <v>66</v>
      </c>
      <c r="I10" s="26"/>
      <c r="J10" s="26"/>
      <c r="K10" s="26">
        <v>3</v>
      </c>
      <c r="L10" s="26">
        <f t="shared" si="0"/>
        <v>0</v>
      </c>
      <c r="M10" s="26"/>
      <c r="N10" s="26" t="str">
        <f t="shared" si="1"/>
        <v/>
      </c>
      <c r="O10" s="26" t="str">
        <f t="shared" si="2"/>
        <v/>
      </c>
      <c r="P10" s="26">
        <f t="shared" si="3"/>
        <v>15</v>
      </c>
      <c r="Q10" s="26" t="str">
        <f t="shared" si="4"/>
        <v/>
      </c>
      <c r="R10" s="27" t="s">
        <v>28</v>
      </c>
      <c r="S10" s="27" t="s">
        <v>28</v>
      </c>
      <c r="T10" s="27" t="s">
        <v>28</v>
      </c>
      <c r="U10" s="28" t="s">
        <v>28</v>
      </c>
    </row>
    <row r="11" spans="1:21" ht="90" customHeight="1" x14ac:dyDescent="0.25">
      <c r="A11" s="21">
        <v>10</v>
      </c>
      <c r="B11" s="22" t="s">
        <v>21</v>
      </c>
      <c r="C11" s="6" t="s">
        <v>67</v>
      </c>
      <c r="D11" s="23" t="s">
        <v>68</v>
      </c>
      <c r="E11" s="24" t="s">
        <v>69</v>
      </c>
      <c r="F11" s="23" t="s">
        <v>70</v>
      </c>
      <c r="G11" s="25" t="s">
        <v>26</v>
      </c>
      <c r="H11" s="26" t="s">
        <v>71</v>
      </c>
      <c r="I11" s="26"/>
      <c r="J11" s="26"/>
      <c r="K11" s="26">
        <v>5</v>
      </c>
      <c r="L11" s="26">
        <f t="shared" si="0"/>
        <v>0</v>
      </c>
      <c r="M11" s="26"/>
      <c r="N11" s="26" t="str">
        <f t="shared" si="1"/>
        <v/>
      </c>
      <c r="O11" s="26" t="str">
        <f t="shared" si="2"/>
        <v/>
      </c>
      <c r="P11" s="26">
        <f t="shared" si="3"/>
        <v>25</v>
      </c>
      <c r="Q11" s="26" t="str">
        <f t="shared" si="4"/>
        <v/>
      </c>
      <c r="R11" s="27" t="s">
        <v>28</v>
      </c>
      <c r="S11" s="27" t="s">
        <v>28</v>
      </c>
      <c r="T11" s="27" t="s">
        <v>28</v>
      </c>
      <c r="U11" s="28" t="s">
        <v>28</v>
      </c>
    </row>
    <row r="12" spans="1:21" ht="105" customHeight="1" x14ac:dyDescent="0.25">
      <c r="A12" s="21">
        <v>11</v>
      </c>
      <c r="B12" s="22" t="s">
        <v>21</v>
      </c>
      <c r="C12" s="6" t="s">
        <v>72</v>
      </c>
      <c r="D12" s="23" t="s">
        <v>73</v>
      </c>
      <c r="E12" s="24" t="s">
        <v>74</v>
      </c>
      <c r="F12" s="23" t="s">
        <v>75</v>
      </c>
      <c r="G12" s="25" t="s">
        <v>26</v>
      </c>
      <c r="H12" s="26" t="s">
        <v>76</v>
      </c>
      <c r="I12" s="26"/>
      <c r="J12" s="26"/>
      <c r="K12" s="26">
        <v>4</v>
      </c>
      <c r="L12" s="26">
        <f t="shared" si="0"/>
        <v>0</v>
      </c>
      <c r="M12" s="26"/>
      <c r="N12" s="26" t="str">
        <f t="shared" si="1"/>
        <v/>
      </c>
      <c r="O12" s="26" t="str">
        <f t="shared" si="2"/>
        <v/>
      </c>
      <c r="P12" s="26">
        <f t="shared" si="3"/>
        <v>20</v>
      </c>
      <c r="Q12" s="26" t="str">
        <f t="shared" si="4"/>
        <v/>
      </c>
      <c r="R12" s="27" t="s">
        <v>28</v>
      </c>
      <c r="S12" s="27" t="s">
        <v>28</v>
      </c>
      <c r="T12" s="27" t="s">
        <v>28</v>
      </c>
      <c r="U12" s="28" t="s">
        <v>28</v>
      </c>
    </row>
    <row r="13" spans="1:21" ht="90" customHeight="1" x14ac:dyDescent="0.25">
      <c r="A13" s="21">
        <v>12</v>
      </c>
      <c r="B13" s="22" t="s">
        <v>21</v>
      </c>
      <c r="C13" s="6" t="s">
        <v>77</v>
      </c>
      <c r="D13" s="23" t="s">
        <v>78</v>
      </c>
      <c r="E13" s="24" t="s">
        <v>79</v>
      </c>
      <c r="F13" s="23" t="s">
        <v>80</v>
      </c>
      <c r="G13" s="25" t="s">
        <v>26</v>
      </c>
      <c r="H13" s="26" t="s">
        <v>81</v>
      </c>
      <c r="I13" s="26"/>
      <c r="J13" s="26"/>
      <c r="K13" s="26">
        <v>3</v>
      </c>
      <c r="L13" s="26">
        <f t="shared" si="0"/>
        <v>0</v>
      </c>
      <c r="M13" s="26"/>
      <c r="N13" s="26" t="str">
        <f t="shared" si="1"/>
        <v/>
      </c>
      <c r="O13" s="26" t="str">
        <f t="shared" si="2"/>
        <v/>
      </c>
      <c r="P13" s="26">
        <f t="shared" si="3"/>
        <v>15</v>
      </c>
      <c r="Q13" s="26" t="str">
        <f t="shared" si="4"/>
        <v/>
      </c>
      <c r="R13" s="27" t="s">
        <v>28</v>
      </c>
      <c r="S13" s="27" t="s">
        <v>28</v>
      </c>
      <c r="T13" s="27" t="s">
        <v>28</v>
      </c>
      <c r="U13" s="28"/>
    </row>
    <row r="14" spans="1:21" ht="90" customHeight="1" x14ac:dyDescent="0.25">
      <c r="A14" s="21">
        <v>13</v>
      </c>
      <c r="B14" s="22" t="s">
        <v>21</v>
      </c>
      <c r="C14" s="29" t="s">
        <v>82</v>
      </c>
      <c r="D14" s="23" t="s">
        <v>83</v>
      </c>
      <c r="E14" s="24" t="s">
        <v>84</v>
      </c>
      <c r="F14" s="23" t="s">
        <v>85</v>
      </c>
      <c r="G14" s="25" t="s">
        <v>26</v>
      </c>
      <c r="H14" s="26" t="s">
        <v>86</v>
      </c>
      <c r="I14" s="26"/>
      <c r="J14" s="26"/>
      <c r="K14" s="26">
        <v>3</v>
      </c>
      <c r="L14" s="26">
        <f t="shared" si="0"/>
        <v>0</v>
      </c>
      <c r="M14" s="26"/>
      <c r="N14" s="26" t="str">
        <f t="shared" si="1"/>
        <v/>
      </c>
      <c r="O14" s="26" t="str">
        <f t="shared" si="2"/>
        <v/>
      </c>
      <c r="P14" s="26">
        <f t="shared" si="3"/>
        <v>15</v>
      </c>
      <c r="Q14" s="26" t="str">
        <f t="shared" si="4"/>
        <v/>
      </c>
      <c r="R14" s="27" t="s">
        <v>28</v>
      </c>
      <c r="S14" s="27" t="s">
        <v>28</v>
      </c>
      <c r="T14" s="27" t="s">
        <v>28</v>
      </c>
      <c r="U14" s="28" t="s">
        <v>28</v>
      </c>
    </row>
    <row r="15" spans="1:21" ht="90" customHeight="1" x14ac:dyDescent="0.25">
      <c r="A15" s="21">
        <v>14</v>
      </c>
      <c r="B15" s="22" t="s">
        <v>21</v>
      </c>
      <c r="C15" s="6" t="s">
        <v>87</v>
      </c>
      <c r="D15" s="23" t="s">
        <v>88</v>
      </c>
      <c r="E15" s="24" t="s">
        <v>89</v>
      </c>
      <c r="F15" s="23" t="s">
        <v>90</v>
      </c>
      <c r="G15" s="25" t="s">
        <v>26</v>
      </c>
      <c r="H15" s="26" t="s">
        <v>91</v>
      </c>
      <c r="I15" s="26"/>
      <c r="J15" s="26"/>
      <c r="K15" s="26">
        <v>3</v>
      </c>
      <c r="L15" s="26">
        <f t="shared" si="0"/>
        <v>0</v>
      </c>
      <c r="M15" s="26"/>
      <c r="N15" s="26" t="str">
        <f t="shared" si="1"/>
        <v/>
      </c>
      <c r="O15" s="26" t="str">
        <f t="shared" si="2"/>
        <v/>
      </c>
      <c r="P15" s="26">
        <f t="shared" si="3"/>
        <v>15</v>
      </c>
      <c r="Q15" s="26" t="str">
        <f t="shared" si="4"/>
        <v/>
      </c>
      <c r="R15" s="27" t="s">
        <v>28</v>
      </c>
      <c r="S15" s="27" t="s">
        <v>28</v>
      </c>
      <c r="T15" s="27" t="s">
        <v>28</v>
      </c>
      <c r="U15" s="28"/>
    </row>
    <row r="16" spans="1:21" ht="90" customHeight="1" x14ac:dyDescent="0.25">
      <c r="A16" s="21">
        <v>15</v>
      </c>
      <c r="B16" s="22" t="s">
        <v>21</v>
      </c>
      <c r="C16" s="29" t="s">
        <v>92</v>
      </c>
      <c r="D16" s="23" t="s">
        <v>93</v>
      </c>
      <c r="E16" s="24" t="s">
        <v>94</v>
      </c>
      <c r="F16" s="23" t="s">
        <v>95</v>
      </c>
      <c r="G16" s="25" t="s">
        <v>26</v>
      </c>
      <c r="H16" s="26" t="s">
        <v>96</v>
      </c>
      <c r="I16" s="26"/>
      <c r="J16" s="26"/>
      <c r="K16" s="26">
        <v>5</v>
      </c>
      <c r="L16" s="26">
        <f t="shared" si="0"/>
        <v>0</v>
      </c>
      <c r="M16" s="26"/>
      <c r="N16" s="26" t="str">
        <f t="shared" si="1"/>
        <v/>
      </c>
      <c r="O16" s="26" t="str">
        <f t="shared" si="2"/>
        <v/>
      </c>
      <c r="P16" s="26">
        <f t="shared" si="3"/>
        <v>25</v>
      </c>
      <c r="Q16" s="26" t="str">
        <f t="shared" si="4"/>
        <v/>
      </c>
      <c r="R16" s="27" t="s">
        <v>28</v>
      </c>
      <c r="S16" s="27" t="s">
        <v>28</v>
      </c>
      <c r="T16" s="27" t="s">
        <v>28</v>
      </c>
      <c r="U16" s="28" t="s">
        <v>28</v>
      </c>
    </row>
    <row r="17" spans="1:21" ht="90" customHeight="1" x14ac:dyDescent="0.25">
      <c r="A17" s="21">
        <v>16</v>
      </c>
      <c r="B17" s="22" t="s">
        <v>21</v>
      </c>
      <c r="C17" s="29" t="s">
        <v>97</v>
      </c>
      <c r="D17" s="23" t="s">
        <v>98</v>
      </c>
      <c r="E17" s="24" t="s">
        <v>99</v>
      </c>
      <c r="F17" s="23" t="s">
        <v>100</v>
      </c>
      <c r="G17" s="25" t="s">
        <v>26</v>
      </c>
      <c r="H17" s="26" t="s">
        <v>101</v>
      </c>
      <c r="I17" s="26"/>
      <c r="J17" s="26"/>
      <c r="K17" s="26">
        <v>4</v>
      </c>
      <c r="L17" s="26">
        <f t="shared" si="0"/>
        <v>0</v>
      </c>
      <c r="M17" s="26"/>
      <c r="N17" s="26" t="str">
        <f t="shared" si="1"/>
        <v/>
      </c>
      <c r="O17" s="26" t="str">
        <f t="shared" si="2"/>
        <v/>
      </c>
      <c r="P17" s="26">
        <f t="shared" si="3"/>
        <v>20</v>
      </c>
      <c r="Q17" s="26" t="str">
        <f t="shared" si="4"/>
        <v/>
      </c>
      <c r="R17" s="27"/>
      <c r="S17" s="27" t="s">
        <v>28</v>
      </c>
      <c r="T17" s="27" t="s">
        <v>28</v>
      </c>
      <c r="U17" s="28" t="s">
        <v>28</v>
      </c>
    </row>
    <row r="18" spans="1:21" ht="90" customHeight="1" x14ac:dyDescent="0.25">
      <c r="A18" s="21">
        <v>17</v>
      </c>
      <c r="B18" s="22" t="s">
        <v>21</v>
      </c>
      <c r="C18" s="6" t="s">
        <v>102</v>
      </c>
      <c r="D18" s="23" t="s">
        <v>103</v>
      </c>
      <c r="E18" s="24" t="s">
        <v>104</v>
      </c>
      <c r="F18" s="23" t="s">
        <v>105</v>
      </c>
      <c r="G18" s="25" t="s">
        <v>26</v>
      </c>
      <c r="H18" s="26" t="s">
        <v>106</v>
      </c>
      <c r="I18" s="26"/>
      <c r="J18" s="26"/>
      <c r="K18" s="26">
        <v>3</v>
      </c>
      <c r="L18" s="26">
        <f t="shared" si="0"/>
        <v>0</v>
      </c>
      <c r="M18" s="26"/>
      <c r="N18" s="26" t="str">
        <f t="shared" si="1"/>
        <v/>
      </c>
      <c r="O18" s="26" t="str">
        <f t="shared" si="2"/>
        <v/>
      </c>
      <c r="P18" s="26">
        <f t="shared" si="3"/>
        <v>15</v>
      </c>
      <c r="Q18" s="26" t="str">
        <f t="shared" si="4"/>
        <v/>
      </c>
      <c r="R18" s="27" t="s">
        <v>28</v>
      </c>
      <c r="S18" s="27" t="s">
        <v>28</v>
      </c>
      <c r="T18" s="27" t="s">
        <v>28</v>
      </c>
      <c r="U18" s="28"/>
    </row>
    <row r="19" spans="1:21" ht="90" customHeight="1" x14ac:dyDescent="0.25">
      <c r="A19" s="21">
        <v>18</v>
      </c>
      <c r="B19" s="22" t="s">
        <v>21</v>
      </c>
      <c r="C19" s="29" t="s">
        <v>107</v>
      </c>
      <c r="D19" s="23" t="s">
        <v>108</v>
      </c>
      <c r="E19" s="24" t="s">
        <v>109</v>
      </c>
      <c r="F19" s="23" t="s">
        <v>110</v>
      </c>
      <c r="G19" s="25" t="s">
        <v>26</v>
      </c>
      <c r="H19" s="26" t="s">
        <v>111</v>
      </c>
      <c r="I19" s="26"/>
      <c r="J19" s="26"/>
      <c r="K19" s="26">
        <v>3</v>
      </c>
      <c r="L19" s="26">
        <f t="shared" si="0"/>
        <v>0</v>
      </c>
      <c r="M19" s="26"/>
      <c r="N19" s="26" t="str">
        <f t="shared" si="1"/>
        <v/>
      </c>
      <c r="O19" s="26" t="str">
        <f t="shared" si="2"/>
        <v/>
      </c>
      <c r="P19" s="26">
        <f t="shared" si="3"/>
        <v>15</v>
      </c>
      <c r="Q19" s="26" t="str">
        <f t="shared" si="4"/>
        <v/>
      </c>
      <c r="R19" s="27" t="s">
        <v>28</v>
      </c>
      <c r="S19" s="27" t="s">
        <v>28</v>
      </c>
      <c r="T19" s="27" t="s">
        <v>28</v>
      </c>
      <c r="U19" s="28"/>
    </row>
    <row r="20" spans="1:21" ht="90" customHeight="1" x14ac:dyDescent="0.25">
      <c r="A20" s="21">
        <v>19</v>
      </c>
      <c r="B20" s="22" t="s">
        <v>21</v>
      </c>
      <c r="C20" s="29" t="s">
        <v>112</v>
      </c>
      <c r="D20" s="23" t="s">
        <v>113</v>
      </c>
      <c r="E20" s="24" t="s">
        <v>114</v>
      </c>
      <c r="F20" s="23" t="s">
        <v>115</v>
      </c>
      <c r="G20" s="25" t="s">
        <v>26</v>
      </c>
      <c r="H20" s="26" t="s">
        <v>116</v>
      </c>
      <c r="I20" s="26"/>
      <c r="J20" s="26"/>
      <c r="K20" s="26">
        <v>4</v>
      </c>
      <c r="L20" s="26">
        <f t="shared" si="0"/>
        <v>0</v>
      </c>
      <c r="M20" s="26"/>
      <c r="N20" s="26" t="str">
        <f t="shared" si="1"/>
        <v/>
      </c>
      <c r="O20" s="26" t="str">
        <f t="shared" si="2"/>
        <v/>
      </c>
      <c r="P20" s="26">
        <f t="shared" si="3"/>
        <v>20</v>
      </c>
      <c r="Q20" s="26" t="str">
        <f t="shared" si="4"/>
        <v/>
      </c>
      <c r="R20" s="27" t="s">
        <v>28</v>
      </c>
      <c r="S20" s="27" t="s">
        <v>28</v>
      </c>
      <c r="T20" s="27" t="s">
        <v>28</v>
      </c>
      <c r="U20" s="28"/>
    </row>
    <row r="21" spans="1:21" ht="60" customHeight="1" x14ac:dyDescent="0.25">
      <c r="A21" s="21">
        <v>20</v>
      </c>
      <c r="B21" s="22" t="s">
        <v>21</v>
      </c>
      <c r="C21" s="29" t="s">
        <v>117</v>
      </c>
      <c r="D21" s="23" t="s">
        <v>118</v>
      </c>
      <c r="E21" s="24" t="s">
        <v>119</v>
      </c>
      <c r="F21" s="23" t="s">
        <v>120</v>
      </c>
      <c r="G21" s="25" t="s">
        <v>26</v>
      </c>
      <c r="H21" s="26" t="s">
        <v>121</v>
      </c>
      <c r="I21" s="26"/>
      <c r="J21" s="26"/>
      <c r="K21" s="26">
        <v>4</v>
      </c>
      <c r="L21" s="26">
        <f t="shared" si="0"/>
        <v>0</v>
      </c>
      <c r="M21" s="26"/>
      <c r="N21" s="26" t="str">
        <f t="shared" si="1"/>
        <v/>
      </c>
      <c r="O21" s="26" t="str">
        <f t="shared" si="2"/>
        <v/>
      </c>
      <c r="P21" s="26">
        <f t="shared" si="3"/>
        <v>20</v>
      </c>
      <c r="Q21" s="26" t="str">
        <f t="shared" si="4"/>
        <v/>
      </c>
      <c r="R21" s="27" t="s">
        <v>28</v>
      </c>
      <c r="S21" s="27" t="s">
        <v>28</v>
      </c>
      <c r="T21" s="27" t="s">
        <v>28</v>
      </c>
      <c r="U21" s="28"/>
    </row>
    <row r="22" spans="1:21" ht="45" customHeight="1" x14ac:dyDescent="0.25">
      <c r="A22" s="21">
        <v>21</v>
      </c>
      <c r="B22" s="22" t="s">
        <v>21</v>
      </c>
      <c r="C22" s="29" t="s">
        <v>122</v>
      </c>
      <c r="D22" s="23" t="s">
        <v>123</v>
      </c>
      <c r="E22" s="24" t="s">
        <v>124</v>
      </c>
      <c r="F22" s="23" t="s">
        <v>125</v>
      </c>
      <c r="G22" s="25" t="s">
        <v>26</v>
      </c>
      <c r="H22" s="26" t="s">
        <v>126</v>
      </c>
      <c r="I22" s="26"/>
      <c r="J22" s="26"/>
      <c r="K22" s="26">
        <v>3</v>
      </c>
      <c r="L22" s="26">
        <f t="shared" si="0"/>
        <v>0</v>
      </c>
      <c r="M22" s="26"/>
      <c r="N22" s="26" t="str">
        <f t="shared" si="1"/>
        <v/>
      </c>
      <c r="O22" s="26" t="str">
        <f t="shared" si="2"/>
        <v/>
      </c>
      <c r="P22" s="26">
        <f t="shared" si="3"/>
        <v>15</v>
      </c>
      <c r="Q22" s="26" t="str">
        <f t="shared" si="4"/>
        <v/>
      </c>
      <c r="R22" s="27" t="s">
        <v>28</v>
      </c>
      <c r="S22" s="27" t="s">
        <v>28</v>
      </c>
      <c r="T22" s="27" t="s">
        <v>28</v>
      </c>
      <c r="U22" s="28" t="s">
        <v>28</v>
      </c>
    </row>
    <row r="23" spans="1:21" ht="45" customHeight="1" x14ac:dyDescent="0.25">
      <c r="A23" s="21">
        <v>22</v>
      </c>
      <c r="B23" s="22" t="s">
        <v>21</v>
      </c>
      <c r="C23" s="6" t="s">
        <v>127</v>
      </c>
      <c r="D23" s="23" t="s">
        <v>128</v>
      </c>
      <c r="E23" s="24" t="s">
        <v>129</v>
      </c>
      <c r="F23" s="23" t="s">
        <v>130</v>
      </c>
      <c r="G23" s="25" t="s">
        <v>26</v>
      </c>
      <c r="H23" s="26" t="s">
        <v>131</v>
      </c>
      <c r="I23" s="26"/>
      <c r="J23" s="26"/>
      <c r="K23" s="26">
        <v>3</v>
      </c>
      <c r="L23" s="26">
        <f t="shared" si="0"/>
        <v>0</v>
      </c>
      <c r="M23" s="26"/>
      <c r="N23" s="26" t="str">
        <f t="shared" si="1"/>
        <v/>
      </c>
      <c r="O23" s="26" t="str">
        <f t="shared" si="2"/>
        <v/>
      </c>
      <c r="P23" s="26">
        <f t="shared" si="3"/>
        <v>15</v>
      </c>
      <c r="Q23" s="26" t="str">
        <f t="shared" si="4"/>
        <v/>
      </c>
      <c r="R23" s="27" t="s">
        <v>28</v>
      </c>
      <c r="S23" s="27" t="s">
        <v>28</v>
      </c>
      <c r="T23" s="27" t="s">
        <v>28</v>
      </c>
      <c r="U23" s="28" t="s">
        <v>28</v>
      </c>
    </row>
    <row r="24" spans="1:21" ht="45" customHeight="1" x14ac:dyDescent="0.25">
      <c r="A24" s="21">
        <v>23</v>
      </c>
      <c r="B24" s="22" t="s">
        <v>21</v>
      </c>
      <c r="C24" s="29" t="s">
        <v>132</v>
      </c>
      <c r="D24" s="23" t="s">
        <v>133</v>
      </c>
      <c r="E24" s="24" t="s">
        <v>134</v>
      </c>
      <c r="F24" s="23" t="s">
        <v>135</v>
      </c>
      <c r="G24" s="25" t="s">
        <v>26</v>
      </c>
      <c r="H24" s="26" t="s">
        <v>136</v>
      </c>
      <c r="I24" s="26"/>
      <c r="J24" s="26"/>
      <c r="K24" s="26">
        <v>4</v>
      </c>
      <c r="L24" s="26">
        <f t="shared" si="0"/>
        <v>0</v>
      </c>
      <c r="M24" s="26"/>
      <c r="N24" s="26" t="str">
        <f t="shared" si="1"/>
        <v/>
      </c>
      <c r="O24" s="26" t="str">
        <f t="shared" si="2"/>
        <v/>
      </c>
      <c r="P24" s="26">
        <f t="shared" si="3"/>
        <v>20</v>
      </c>
      <c r="Q24" s="26" t="str">
        <f t="shared" si="4"/>
        <v/>
      </c>
      <c r="R24" s="27" t="s">
        <v>28</v>
      </c>
      <c r="S24" s="27" t="s">
        <v>28</v>
      </c>
      <c r="T24" s="27" t="s">
        <v>28</v>
      </c>
      <c r="U24" s="28" t="s">
        <v>28</v>
      </c>
    </row>
    <row r="25" spans="1:21" ht="45" customHeight="1" x14ac:dyDescent="0.25">
      <c r="A25" s="21">
        <v>24</v>
      </c>
      <c r="B25" s="22" t="s">
        <v>21</v>
      </c>
      <c r="C25" s="29" t="s">
        <v>137</v>
      </c>
      <c r="D25" s="23" t="s">
        <v>138</v>
      </c>
      <c r="E25" s="24" t="s">
        <v>139</v>
      </c>
      <c r="F25" s="23" t="s">
        <v>140</v>
      </c>
      <c r="G25" s="25" t="s">
        <v>26</v>
      </c>
      <c r="H25" s="26" t="s">
        <v>141</v>
      </c>
      <c r="I25" s="26"/>
      <c r="J25" s="26"/>
      <c r="K25" s="26">
        <v>4</v>
      </c>
      <c r="L25" s="26">
        <f t="shared" si="0"/>
        <v>0</v>
      </c>
      <c r="M25" s="26"/>
      <c r="N25" s="26" t="str">
        <f t="shared" si="1"/>
        <v/>
      </c>
      <c r="O25" s="26" t="str">
        <f t="shared" si="2"/>
        <v/>
      </c>
      <c r="P25" s="26">
        <f t="shared" si="3"/>
        <v>20</v>
      </c>
      <c r="Q25" s="26" t="str">
        <f t="shared" si="4"/>
        <v/>
      </c>
      <c r="R25" s="27" t="s">
        <v>28</v>
      </c>
      <c r="S25" s="27" t="s">
        <v>28</v>
      </c>
      <c r="T25" s="27" t="s">
        <v>28</v>
      </c>
      <c r="U25" s="28" t="s">
        <v>28</v>
      </c>
    </row>
    <row r="26" spans="1:21" ht="30" customHeight="1" x14ac:dyDescent="0.25">
      <c r="A26" s="21">
        <v>25</v>
      </c>
      <c r="B26" s="22" t="s">
        <v>21</v>
      </c>
      <c r="C26" s="6" t="s">
        <v>142</v>
      </c>
      <c r="D26" s="23" t="s">
        <v>143</v>
      </c>
      <c r="E26" s="24" t="s">
        <v>144</v>
      </c>
      <c r="F26" s="23" t="s">
        <v>145</v>
      </c>
      <c r="G26" s="25" t="s">
        <v>26</v>
      </c>
      <c r="H26" s="26" t="s">
        <v>146</v>
      </c>
      <c r="I26" s="26"/>
      <c r="J26" s="26"/>
      <c r="K26" s="26">
        <v>2</v>
      </c>
      <c r="L26" s="26">
        <f t="shared" si="0"/>
        <v>0</v>
      </c>
      <c r="M26" s="26"/>
      <c r="N26" s="26" t="str">
        <f t="shared" si="1"/>
        <v/>
      </c>
      <c r="O26" s="26" t="str">
        <f t="shared" si="2"/>
        <v/>
      </c>
      <c r="P26" s="26">
        <f t="shared" si="3"/>
        <v>10</v>
      </c>
      <c r="Q26" s="26" t="str">
        <f t="shared" si="4"/>
        <v/>
      </c>
      <c r="R26" s="27" t="s">
        <v>28</v>
      </c>
      <c r="S26" s="27" t="s">
        <v>28</v>
      </c>
      <c r="T26" s="27" t="s">
        <v>28</v>
      </c>
      <c r="U26" s="28" t="s">
        <v>28</v>
      </c>
    </row>
    <row r="27" spans="1:21" ht="30" customHeight="1" x14ac:dyDescent="0.25">
      <c r="A27" s="21">
        <v>26</v>
      </c>
      <c r="B27" s="22" t="s">
        <v>21</v>
      </c>
      <c r="C27" s="6" t="s">
        <v>147</v>
      </c>
      <c r="D27" s="23" t="s">
        <v>148</v>
      </c>
      <c r="E27" s="24" t="s">
        <v>149</v>
      </c>
      <c r="F27" s="23" t="s">
        <v>150</v>
      </c>
      <c r="G27" s="25" t="s">
        <v>26</v>
      </c>
      <c r="H27" s="26" t="s">
        <v>151</v>
      </c>
      <c r="I27" s="26"/>
      <c r="J27" s="26"/>
      <c r="K27" s="26">
        <v>4</v>
      </c>
      <c r="L27" s="26">
        <f t="shared" si="0"/>
        <v>0</v>
      </c>
      <c r="M27" s="26"/>
      <c r="N27" s="26" t="str">
        <f t="shared" si="1"/>
        <v/>
      </c>
      <c r="O27" s="26" t="str">
        <f t="shared" si="2"/>
        <v/>
      </c>
      <c r="P27" s="26">
        <f t="shared" si="3"/>
        <v>20</v>
      </c>
      <c r="Q27" s="26" t="str">
        <f t="shared" si="4"/>
        <v/>
      </c>
      <c r="R27" s="27" t="s">
        <v>28</v>
      </c>
      <c r="S27" s="27" t="s">
        <v>28</v>
      </c>
      <c r="T27" s="27" t="s">
        <v>28</v>
      </c>
      <c r="U27" s="28" t="s">
        <v>28</v>
      </c>
    </row>
    <row r="28" spans="1:21" ht="45" customHeight="1" x14ac:dyDescent="0.25">
      <c r="A28" s="21">
        <v>27</v>
      </c>
      <c r="B28" s="22" t="s">
        <v>21</v>
      </c>
      <c r="C28" s="6" t="s">
        <v>152</v>
      </c>
      <c r="D28" s="23" t="s">
        <v>153</v>
      </c>
      <c r="E28" s="24" t="s">
        <v>154</v>
      </c>
      <c r="F28" s="23" t="s">
        <v>155</v>
      </c>
      <c r="G28" s="25" t="s">
        <v>26</v>
      </c>
      <c r="H28" s="26" t="s">
        <v>156</v>
      </c>
      <c r="I28" s="26"/>
      <c r="J28" s="26"/>
      <c r="K28" s="26">
        <v>3</v>
      </c>
      <c r="L28" s="26">
        <f t="shared" si="0"/>
        <v>0</v>
      </c>
      <c r="M28" s="26"/>
      <c r="N28" s="26" t="str">
        <f t="shared" si="1"/>
        <v/>
      </c>
      <c r="O28" s="26" t="str">
        <f t="shared" si="2"/>
        <v/>
      </c>
      <c r="P28" s="26">
        <f t="shared" si="3"/>
        <v>15</v>
      </c>
      <c r="Q28" s="26" t="str">
        <f t="shared" si="4"/>
        <v/>
      </c>
      <c r="R28" s="27"/>
      <c r="S28" s="27" t="s">
        <v>28</v>
      </c>
      <c r="T28" s="27" t="s">
        <v>28</v>
      </c>
      <c r="U28" s="28"/>
    </row>
    <row r="29" spans="1:21" ht="45" customHeight="1" x14ac:dyDescent="0.25">
      <c r="A29" s="21">
        <v>28</v>
      </c>
      <c r="B29" s="22" t="s">
        <v>21</v>
      </c>
      <c r="C29" s="29" t="s">
        <v>157</v>
      </c>
      <c r="D29" s="23" t="s">
        <v>158</v>
      </c>
      <c r="E29" s="24" t="s">
        <v>159</v>
      </c>
      <c r="F29" s="23" t="s">
        <v>160</v>
      </c>
      <c r="G29" s="25" t="s">
        <v>26</v>
      </c>
      <c r="H29" s="26" t="s">
        <v>161</v>
      </c>
      <c r="I29" s="26"/>
      <c r="J29" s="26"/>
      <c r="K29" s="26">
        <v>4</v>
      </c>
      <c r="L29" s="26">
        <f t="shared" si="0"/>
        <v>0</v>
      </c>
      <c r="M29" s="26"/>
      <c r="N29" s="26" t="str">
        <f t="shared" si="1"/>
        <v/>
      </c>
      <c r="O29" s="26" t="str">
        <f t="shared" si="2"/>
        <v/>
      </c>
      <c r="P29" s="26">
        <f t="shared" si="3"/>
        <v>20</v>
      </c>
      <c r="Q29" s="26" t="str">
        <f t="shared" si="4"/>
        <v/>
      </c>
      <c r="R29" s="27" t="s">
        <v>28</v>
      </c>
      <c r="S29" s="27" t="s">
        <v>28</v>
      </c>
      <c r="T29" s="27" t="s">
        <v>28</v>
      </c>
      <c r="U29" s="28" t="s">
        <v>28</v>
      </c>
    </row>
    <row r="30" spans="1:21" ht="30" customHeight="1" x14ac:dyDescent="0.25">
      <c r="A30" s="21">
        <v>29</v>
      </c>
      <c r="B30" s="22" t="s">
        <v>21</v>
      </c>
      <c r="C30" s="29" t="s">
        <v>162</v>
      </c>
      <c r="D30" s="23" t="s">
        <v>163</v>
      </c>
      <c r="E30" s="24" t="s">
        <v>164</v>
      </c>
      <c r="F30" s="23" t="s">
        <v>165</v>
      </c>
      <c r="G30" s="25" t="s">
        <v>26</v>
      </c>
      <c r="H30" s="26" t="s">
        <v>166</v>
      </c>
      <c r="I30" s="26"/>
      <c r="J30" s="26"/>
      <c r="K30" s="26">
        <v>4</v>
      </c>
      <c r="L30" s="26">
        <f t="shared" si="0"/>
        <v>0</v>
      </c>
      <c r="M30" s="26"/>
      <c r="N30" s="26" t="str">
        <f t="shared" si="1"/>
        <v/>
      </c>
      <c r="O30" s="26" t="str">
        <f t="shared" si="2"/>
        <v/>
      </c>
      <c r="P30" s="26">
        <f t="shared" si="3"/>
        <v>20</v>
      </c>
      <c r="Q30" s="26" t="str">
        <f t="shared" si="4"/>
        <v/>
      </c>
      <c r="R30" s="27" t="s">
        <v>28</v>
      </c>
      <c r="S30" s="27" t="s">
        <v>28</v>
      </c>
      <c r="T30" s="27" t="s">
        <v>28</v>
      </c>
      <c r="U30" s="28" t="s">
        <v>28</v>
      </c>
    </row>
    <row r="31" spans="1:21" ht="45" customHeight="1" x14ac:dyDescent="0.25">
      <c r="A31" s="21">
        <v>30</v>
      </c>
      <c r="B31" s="22" t="s">
        <v>21</v>
      </c>
      <c r="C31" s="6" t="s">
        <v>167</v>
      </c>
      <c r="D31" s="23" t="s">
        <v>168</v>
      </c>
      <c r="E31" s="24" t="s">
        <v>169</v>
      </c>
      <c r="F31" s="23" t="s">
        <v>170</v>
      </c>
      <c r="G31" s="25" t="s">
        <v>26</v>
      </c>
      <c r="H31" s="26" t="s">
        <v>171</v>
      </c>
      <c r="I31" s="26"/>
      <c r="J31" s="26"/>
      <c r="K31" s="26">
        <v>2</v>
      </c>
      <c r="L31" s="26">
        <f t="shared" si="0"/>
        <v>0</v>
      </c>
      <c r="M31" s="26"/>
      <c r="N31" s="26" t="str">
        <f t="shared" si="1"/>
        <v/>
      </c>
      <c r="O31" s="26" t="str">
        <f t="shared" si="2"/>
        <v/>
      </c>
      <c r="P31" s="26">
        <f t="shared" si="3"/>
        <v>10</v>
      </c>
      <c r="Q31" s="26" t="str">
        <f t="shared" si="4"/>
        <v/>
      </c>
      <c r="R31" s="27" t="s">
        <v>28</v>
      </c>
      <c r="S31" s="27" t="s">
        <v>28</v>
      </c>
      <c r="T31" s="27" t="s">
        <v>28</v>
      </c>
      <c r="U31" s="28" t="s">
        <v>28</v>
      </c>
    </row>
    <row r="32" spans="1:21" ht="45" customHeight="1" x14ac:dyDescent="0.25">
      <c r="A32" s="21">
        <v>31</v>
      </c>
      <c r="B32" s="22" t="s">
        <v>21</v>
      </c>
      <c r="C32" s="29" t="s">
        <v>172</v>
      </c>
      <c r="D32" s="23" t="s">
        <v>173</v>
      </c>
      <c r="E32" s="24" t="s">
        <v>174</v>
      </c>
      <c r="F32" s="23" t="s">
        <v>175</v>
      </c>
      <c r="G32" s="25" t="s">
        <v>26</v>
      </c>
      <c r="H32" s="26" t="s">
        <v>176</v>
      </c>
      <c r="I32" s="26"/>
      <c r="J32" s="26"/>
      <c r="K32" s="26">
        <v>2</v>
      </c>
      <c r="L32" s="26">
        <f t="shared" si="0"/>
        <v>0</v>
      </c>
      <c r="M32" s="26"/>
      <c r="N32" s="26" t="str">
        <f t="shared" si="1"/>
        <v/>
      </c>
      <c r="O32" s="26" t="str">
        <f t="shared" si="2"/>
        <v/>
      </c>
      <c r="P32" s="26">
        <f t="shared" si="3"/>
        <v>10</v>
      </c>
      <c r="Q32" s="26" t="str">
        <f t="shared" si="4"/>
        <v/>
      </c>
      <c r="R32" s="27" t="s">
        <v>28</v>
      </c>
      <c r="S32" s="27" t="s">
        <v>28</v>
      </c>
      <c r="T32" s="27" t="s">
        <v>28</v>
      </c>
      <c r="U32" s="28" t="s">
        <v>28</v>
      </c>
    </row>
    <row r="33" spans="1:21" ht="45" customHeight="1" x14ac:dyDescent="0.25">
      <c r="A33" s="21">
        <v>32</v>
      </c>
      <c r="B33" s="22" t="s">
        <v>21</v>
      </c>
      <c r="C33" s="6" t="s">
        <v>177</v>
      </c>
      <c r="D33" s="23" t="s">
        <v>178</v>
      </c>
      <c r="E33" s="24" t="s">
        <v>179</v>
      </c>
      <c r="F33" s="23" t="s">
        <v>180</v>
      </c>
      <c r="G33" s="25" t="s">
        <v>26</v>
      </c>
      <c r="H33" s="26" t="s">
        <v>181</v>
      </c>
      <c r="I33" s="26"/>
      <c r="J33" s="26"/>
      <c r="K33" s="26">
        <v>3</v>
      </c>
      <c r="L33" s="26">
        <f t="shared" si="0"/>
        <v>0</v>
      </c>
      <c r="M33" s="26"/>
      <c r="N33" s="26" t="str">
        <f t="shared" si="1"/>
        <v/>
      </c>
      <c r="O33" s="26" t="str">
        <f t="shared" si="2"/>
        <v/>
      </c>
      <c r="P33" s="26">
        <f t="shared" si="3"/>
        <v>15</v>
      </c>
      <c r="Q33" s="26" t="str">
        <f t="shared" si="4"/>
        <v/>
      </c>
      <c r="R33" s="27" t="s">
        <v>28</v>
      </c>
      <c r="S33" s="27" t="s">
        <v>28</v>
      </c>
      <c r="T33" s="27" t="s">
        <v>28</v>
      </c>
      <c r="U33" s="28"/>
    </row>
    <row r="34" spans="1:21" ht="30" customHeight="1" x14ac:dyDescent="0.25">
      <c r="A34" s="21">
        <v>33</v>
      </c>
      <c r="B34" s="22" t="s">
        <v>21</v>
      </c>
      <c r="C34" s="29" t="s">
        <v>182</v>
      </c>
      <c r="D34" s="23" t="s">
        <v>183</v>
      </c>
      <c r="E34" s="24" t="s">
        <v>184</v>
      </c>
      <c r="F34" s="23" t="s">
        <v>185</v>
      </c>
      <c r="G34" s="25" t="s">
        <v>26</v>
      </c>
      <c r="H34" s="26" t="s">
        <v>186</v>
      </c>
      <c r="I34" s="26"/>
      <c r="J34" s="26"/>
      <c r="K34" s="26">
        <v>2</v>
      </c>
      <c r="L34" s="26">
        <f t="shared" si="0"/>
        <v>0</v>
      </c>
      <c r="M34" s="26"/>
      <c r="N34" s="26" t="str">
        <f t="shared" si="1"/>
        <v/>
      </c>
      <c r="O34" s="26" t="str">
        <f t="shared" si="2"/>
        <v/>
      </c>
      <c r="P34" s="26">
        <f t="shared" si="3"/>
        <v>10</v>
      </c>
      <c r="Q34" s="26" t="str">
        <f t="shared" si="4"/>
        <v/>
      </c>
      <c r="R34" s="27" t="s">
        <v>28</v>
      </c>
      <c r="S34" s="27" t="s">
        <v>28</v>
      </c>
      <c r="T34" s="27" t="s">
        <v>28</v>
      </c>
      <c r="U34" s="28"/>
    </row>
    <row r="35" spans="1:21" ht="45" customHeight="1" x14ac:dyDescent="0.25">
      <c r="A35" s="21">
        <v>34</v>
      </c>
      <c r="B35" s="22" t="s">
        <v>21</v>
      </c>
      <c r="C35" s="6" t="s">
        <v>187</v>
      </c>
      <c r="D35" s="23" t="s">
        <v>188</v>
      </c>
      <c r="E35" s="24" t="s">
        <v>189</v>
      </c>
      <c r="F35" s="23" t="s">
        <v>190</v>
      </c>
      <c r="G35" s="25" t="s">
        <v>26</v>
      </c>
      <c r="H35" s="26" t="s">
        <v>191</v>
      </c>
      <c r="I35" s="26"/>
      <c r="J35" s="26"/>
      <c r="K35" s="26">
        <v>3</v>
      </c>
      <c r="L35" s="26">
        <f t="shared" si="0"/>
        <v>0</v>
      </c>
      <c r="M35" s="26"/>
      <c r="N35" s="26" t="str">
        <f t="shared" si="1"/>
        <v/>
      </c>
      <c r="O35" s="26" t="str">
        <f t="shared" si="2"/>
        <v/>
      </c>
      <c r="P35" s="26">
        <f t="shared" si="3"/>
        <v>15</v>
      </c>
      <c r="Q35" s="26" t="str">
        <f t="shared" si="4"/>
        <v/>
      </c>
      <c r="R35" s="27" t="s">
        <v>28</v>
      </c>
      <c r="S35" s="27" t="s">
        <v>28</v>
      </c>
      <c r="T35" s="27" t="s">
        <v>28</v>
      </c>
      <c r="U35" s="28"/>
    </row>
    <row r="36" spans="1:21" ht="45" customHeight="1" x14ac:dyDescent="0.25">
      <c r="A36" s="21">
        <v>35</v>
      </c>
      <c r="B36" s="22" t="s">
        <v>21</v>
      </c>
      <c r="C36" s="29" t="s">
        <v>192</v>
      </c>
      <c r="D36" s="23" t="s">
        <v>193</v>
      </c>
      <c r="E36" s="24" t="s">
        <v>194</v>
      </c>
      <c r="F36" s="23" t="s">
        <v>195</v>
      </c>
      <c r="G36" s="25" t="s">
        <v>26</v>
      </c>
      <c r="H36" s="26" t="s">
        <v>196</v>
      </c>
      <c r="I36" s="26"/>
      <c r="J36" s="26"/>
      <c r="K36" s="26">
        <v>4</v>
      </c>
      <c r="L36" s="26">
        <f t="shared" si="0"/>
        <v>0</v>
      </c>
      <c r="M36" s="26"/>
      <c r="N36" s="26" t="str">
        <f t="shared" si="1"/>
        <v/>
      </c>
      <c r="O36" s="26" t="str">
        <f t="shared" si="2"/>
        <v/>
      </c>
      <c r="P36" s="26">
        <f t="shared" si="3"/>
        <v>20</v>
      </c>
      <c r="Q36" s="26" t="str">
        <f t="shared" si="4"/>
        <v/>
      </c>
      <c r="R36" s="27"/>
      <c r="S36" s="27" t="s">
        <v>28</v>
      </c>
      <c r="T36" s="27" t="s">
        <v>28</v>
      </c>
      <c r="U36" s="28"/>
    </row>
    <row r="37" spans="1:21" ht="30" customHeight="1" x14ac:dyDescent="0.25">
      <c r="A37" s="21">
        <v>36</v>
      </c>
      <c r="B37" s="22" t="s">
        <v>21</v>
      </c>
      <c r="C37" s="29" t="s">
        <v>197</v>
      </c>
      <c r="D37" s="23" t="s">
        <v>198</v>
      </c>
      <c r="E37" s="24" t="s">
        <v>199</v>
      </c>
      <c r="F37" s="23" t="s">
        <v>200</v>
      </c>
      <c r="G37" s="25" t="s">
        <v>26</v>
      </c>
      <c r="H37" s="26" t="s">
        <v>201</v>
      </c>
      <c r="I37" s="26"/>
      <c r="J37" s="26"/>
      <c r="K37" s="26">
        <v>3</v>
      </c>
      <c r="L37" s="26">
        <f t="shared" si="0"/>
        <v>0</v>
      </c>
      <c r="M37" s="26"/>
      <c r="N37" s="26" t="str">
        <f t="shared" si="1"/>
        <v/>
      </c>
      <c r="O37" s="26" t="str">
        <f t="shared" si="2"/>
        <v/>
      </c>
      <c r="P37" s="26">
        <f t="shared" si="3"/>
        <v>15</v>
      </c>
      <c r="Q37" s="26" t="str">
        <f t="shared" si="4"/>
        <v/>
      </c>
      <c r="R37" s="27" t="s">
        <v>28</v>
      </c>
      <c r="S37" s="27" t="s">
        <v>28</v>
      </c>
      <c r="T37" s="27" t="s">
        <v>28</v>
      </c>
      <c r="U37" s="28"/>
    </row>
    <row r="38" spans="1:21" ht="45" customHeight="1" x14ac:dyDescent="0.25">
      <c r="A38" s="21">
        <v>37</v>
      </c>
      <c r="B38" s="22" t="s">
        <v>21</v>
      </c>
      <c r="C38" s="29" t="s">
        <v>202</v>
      </c>
      <c r="D38" s="23" t="s">
        <v>203</v>
      </c>
      <c r="E38" s="24" t="s">
        <v>204</v>
      </c>
      <c r="F38" s="23" t="s">
        <v>205</v>
      </c>
      <c r="G38" s="25" t="s">
        <v>26</v>
      </c>
      <c r="H38" s="26" t="s">
        <v>206</v>
      </c>
      <c r="I38" s="26"/>
      <c r="J38" s="26"/>
      <c r="K38" s="26">
        <v>2</v>
      </c>
      <c r="L38" s="26">
        <f t="shared" si="0"/>
        <v>0</v>
      </c>
      <c r="M38" s="26"/>
      <c r="N38" s="26" t="str">
        <f t="shared" si="1"/>
        <v/>
      </c>
      <c r="O38" s="26" t="str">
        <f t="shared" si="2"/>
        <v/>
      </c>
      <c r="P38" s="26">
        <f t="shared" si="3"/>
        <v>10</v>
      </c>
      <c r="Q38" s="26" t="str">
        <f t="shared" si="4"/>
        <v/>
      </c>
      <c r="R38" s="27" t="s">
        <v>28</v>
      </c>
      <c r="S38" s="27" t="s">
        <v>28</v>
      </c>
      <c r="T38" s="27" t="s">
        <v>28</v>
      </c>
      <c r="U38" s="28" t="s">
        <v>28</v>
      </c>
    </row>
    <row r="39" spans="1:21" ht="30" customHeight="1" x14ac:dyDescent="0.25">
      <c r="A39" s="21">
        <v>38</v>
      </c>
      <c r="B39" s="22" t="s">
        <v>207</v>
      </c>
      <c r="C39" s="29" t="s">
        <v>208</v>
      </c>
      <c r="D39" s="23" t="s">
        <v>209</v>
      </c>
      <c r="E39" s="24" t="s">
        <v>210</v>
      </c>
      <c r="F39" s="23" t="s">
        <v>211</v>
      </c>
      <c r="G39" s="25" t="s">
        <v>26</v>
      </c>
      <c r="H39" s="26" t="s">
        <v>212</v>
      </c>
      <c r="I39" s="26"/>
      <c r="J39" s="26"/>
      <c r="K39" s="26">
        <v>3</v>
      </c>
      <c r="L39" s="26">
        <f t="shared" si="0"/>
        <v>0</v>
      </c>
      <c r="M39" s="26"/>
      <c r="N39" s="26" t="str">
        <f t="shared" si="1"/>
        <v/>
      </c>
      <c r="O39" s="26" t="str">
        <f t="shared" si="2"/>
        <v/>
      </c>
      <c r="P39" s="26">
        <f t="shared" si="3"/>
        <v>15</v>
      </c>
      <c r="Q39" s="26" t="str">
        <f t="shared" si="4"/>
        <v/>
      </c>
      <c r="R39" s="27"/>
      <c r="S39" s="27"/>
      <c r="T39" s="27"/>
      <c r="U39" s="28"/>
    </row>
    <row r="40" spans="1:21" ht="45" customHeight="1" x14ac:dyDescent="0.25">
      <c r="A40" s="21">
        <v>39</v>
      </c>
      <c r="B40" s="22" t="s">
        <v>207</v>
      </c>
      <c r="C40" s="6" t="s">
        <v>213</v>
      </c>
      <c r="D40" s="23" t="s">
        <v>209</v>
      </c>
      <c r="E40" s="24" t="s">
        <v>210</v>
      </c>
      <c r="F40" s="23" t="s">
        <v>211</v>
      </c>
      <c r="G40" s="25" t="s">
        <v>26</v>
      </c>
      <c r="H40" s="26" t="s">
        <v>214</v>
      </c>
      <c r="I40" s="26"/>
      <c r="J40" s="26"/>
      <c r="K40" s="26">
        <v>3</v>
      </c>
      <c r="L40" s="26">
        <f t="shared" si="0"/>
        <v>0</v>
      </c>
      <c r="M40" s="26"/>
      <c r="N40" s="26" t="str">
        <f t="shared" si="1"/>
        <v/>
      </c>
      <c r="O40" s="26" t="str">
        <f t="shared" si="2"/>
        <v/>
      </c>
      <c r="P40" s="26">
        <f t="shared" si="3"/>
        <v>15</v>
      </c>
      <c r="Q40" s="26" t="str">
        <f t="shared" si="4"/>
        <v/>
      </c>
      <c r="R40" s="27"/>
      <c r="S40" s="27"/>
      <c r="T40" s="27"/>
      <c r="U40" s="28"/>
    </row>
    <row r="41" spans="1:21" ht="30" customHeight="1" x14ac:dyDescent="0.25">
      <c r="A41" s="21">
        <v>40</v>
      </c>
      <c r="B41" s="22" t="s">
        <v>207</v>
      </c>
      <c r="C41" s="6" t="s">
        <v>215</v>
      </c>
      <c r="D41" s="23" t="s">
        <v>198</v>
      </c>
      <c r="E41" s="24" t="s">
        <v>199</v>
      </c>
      <c r="F41" s="23" t="s">
        <v>200</v>
      </c>
      <c r="G41" s="25" t="s">
        <v>26</v>
      </c>
      <c r="H41" s="26" t="s">
        <v>216</v>
      </c>
      <c r="I41" s="26"/>
      <c r="J41" s="26"/>
      <c r="K41" s="26">
        <v>4</v>
      </c>
      <c r="L41" s="26">
        <f t="shared" si="0"/>
        <v>0</v>
      </c>
      <c r="M41" s="26"/>
      <c r="N41" s="26" t="str">
        <f t="shared" si="1"/>
        <v/>
      </c>
      <c r="O41" s="26" t="str">
        <f t="shared" si="2"/>
        <v/>
      </c>
      <c r="P41" s="26">
        <f t="shared" si="3"/>
        <v>20</v>
      </c>
      <c r="Q41" s="26" t="str">
        <f t="shared" si="4"/>
        <v/>
      </c>
      <c r="R41" s="27"/>
      <c r="S41" s="27" t="s">
        <v>28</v>
      </c>
      <c r="T41" s="27" t="s">
        <v>28</v>
      </c>
      <c r="U41" s="28" t="s">
        <v>28</v>
      </c>
    </row>
    <row r="42" spans="1:21" ht="60" customHeight="1" x14ac:dyDescent="0.25">
      <c r="A42" s="21">
        <v>41</v>
      </c>
      <c r="B42" s="22" t="s">
        <v>207</v>
      </c>
      <c r="C42" s="29" t="s">
        <v>217</v>
      </c>
      <c r="D42" s="23" t="s">
        <v>218</v>
      </c>
      <c r="E42" s="24" t="s">
        <v>219</v>
      </c>
      <c r="F42" s="23" t="s">
        <v>220</v>
      </c>
      <c r="G42" s="25" t="s">
        <v>26</v>
      </c>
      <c r="H42" s="26" t="s">
        <v>221</v>
      </c>
      <c r="I42" s="26"/>
      <c r="J42" s="26"/>
      <c r="K42" s="26">
        <v>3</v>
      </c>
      <c r="L42" s="26">
        <f t="shared" si="0"/>
        <v>0</v>
      </c>
      <c r="M42" s="26"/>
      <c r="N42" s="26" t="str">
        <f t="shared" si="1"/>
        <v/>
      </c>
      <c r="O42" s="26" t="str">
        <f t="shared" si="2"/>
        <v/>
      </c>
      <c r="P42" s="26">
        <f t="shared" si="3"/>
        <v>15</v>
      </c>
      <c r="Q42" s="26" t="str">
        <f t="shared" si="4"/>
        <v/>
      </c>
      <c r="R42" s="27" t="s">
        <v>28</v>
      </c>
      <c r="S42" s="27" t="s">
        <v>28</v>
      </c>
      <c r="T42" s="27" t="s">
        <v>28</v>
      </c>
      <c r="U42" s="28"/>
    </row>
    <row r="43" spans="1:21" ht="60" customHeight="1" x14ac:dyDescent="0.25">
      <c r="A43" s="21">
        <v>42</v>
      </c>
      <c r="B43" s="22" t="s">
        <v>207</v>
      </c>
      <c r="C43" s="29" t="s">
        <v>222</v>
      </c>
      <c r="D43" s="23" t="s">
        <v>223</v>
      </c>
      <c r="E43" s="24" t="s">
        <v>224</v>
      </c>
      <c r="F43" s="23" t="s">
        <v>225</v>
      </c>
      <c r="G43" s="25" t="s">
        <v>26</v>
      </c>
      <c r="H43" s="26" t="s">
        <v>226</v>
      </c>
      <c r="I43" s="26"/>
      <c r="J43" s="26"/>
      <c r="K43" s="26">
        <v>5</v>
      </c>
      <c r="L43" s="26">
        <f t="shared" si="0"/>
        <v>0</v>
      </c>
      <c r="M43" s="26"/>
      <c r="N43" s="26" t="str">
        <f t="shared" si="1"/>
        <v/>
      </c>
      <c r="O43" s="26" t="str">
        <f t="shared" si="2"/>
        <v/>
      </c>
      <c r="P43" s="26">
        <f t="shared" si="3"/>
        <v>25</v>
      </c>
      <c r="Q43" s="26" t="str">
        <f t="shared" si="4"/>
        <v/>
      </c>
      <c r="R43" s="27" t="s">
        <v>28</v>
      </c>
      <c r="S43" s="27" t="s">
        <v>28</v>
      </c>
      <c r="T43" s="27" t="s">
        <v>28</v>
      </c>
      <c r="U43" s="28" t="s">
        <v>28</v>
      </c>
    </row>
    <row r="44" spans="1:21" ht="57.6" customHeight="1" x14ac:dyDescent="0.25">
      <c r="A44" s="21">
        <v>43</v>
      </c>
      <c r="B44" s="22" t="s">
        <v>207</v>
      </c>
      <c r="C44" s="29" t="s">
        <v>227</v>
      </c>
      <c r="D44" s="23" t="s">
        <v>228</v>
      </c>
      <c r="E44" s="24" t="s">
        <v>229</v>
      </c>
      <c r="F44" s="23" t="s">
        <v>230</v>
      </c>
      <c r="G44" s="25" t="s">
        <v>26</v>
      </c>
      <c r="H44" s="26" t="s">
        <v>231</v>
      </c>
      <c r="I44" s="26"/>
      <c r="J44" s="26"/>
      <c r="K44" s="26">
        <v>5</v>
      </c>
      <c r="L44" s="26">
        <f t="shared" si="0"/>
        <v>0</v>
      </c>
      <c r="M44" s="26"/>
      <c r="N44" s="26" t="str">
        <f t="shared" si="1"/>
        <v/>
      </c>
      <c r="O44" s="26" t="str">
        <f t="shared" si="2"/>
        <v/>
      </c>
      <c r="P44" s="26">
        <f t="shared" si="3"/>
        <v>25</v>
      </c>
      <c r="Q44" s="26" t="str">
        <f t="shared" si="4"/>
        <v/>
      </c>
      <c r="R44" s="27" t="s">
        <v>28</v>
      </c>
      <c r="S44" s="27" t="s">
        <v>28</v>
      </c>
      <c r="T44" s="27" t="s">
        <v>28</v>
      </c>
      <c r="U44" s="28" t="s">
        <v>28</v>
      </c>
    </row>
    <row r="45" spans="1:21" ht="86.45" customHeight="1" x14ac:dyDescent="0.25">
      <c r="A45" s="21">
        <v>44</v>
      </c>
      <c r="B45" s="22" t="s">
        <v>207</v>
      </c>
      <c r="C45" s="29" t="s">
        <v>232</v>
      </c>
      <c r="D45" s="23" t="s">
        <v>198</v>
      </c>
      <c r="E45" s="24" t="s">
        <v>199</v>
      </c>
      <c r="F45" s="23" t="s">
        <v>200</v>
      </c>
      <c r="G45" s="25" t="s">
        <v>26</v>
      </c>
      <c r="H45" s="26" t="s">
        <v>233</v>
      </c>
      <c r="I45" s="26"/>
      <c r="J45" s="26"/>
      <c r="K45" s="26">
        <v>3</v>
      </c>
      <c r="L45" s="26">
        <f t="shared" si="0"/>
        <v>0</v>
      </c>
      <c r="M45" s="26"/>
      <c r="N45" s="26" t="str">
        <f t="shared" si="1"/>
        <v/>
      </c>
      <c r="O45" s="26" t="str">
        <f t="shared" si="2"/>
        <v/>
      </c>
      <c r="P45" s="26">
        <f t="shared" si="3"/>
        <v>15</v>
      </c>
      <c r="Q45" s="26" t="str">
        <f t="shared" si="4"/>
        <v/>
      </c>
      <c r="R45" s="27"/>
      <c r="S45" s="27" t="s">
        <v>28</v>
      </c>
      <c r="T45" s="27" t="s">
        <v>28</v>
      </c>
      <c r="U45" s="28"/>
    </row>
    <row r="46" spans="1:21" ht="45" customHeight="1" x14ac:dyDescent="0.25">
      <c r="A46" s="21">
        <v>45</v>
      </c>
      <c r="B46" s="22" t="s">
        <v>207</v>
      </c>
      <c r="C46" s="29" t="s">
        <v>234</v>
      </c>
      <c r="D46" s="23" t="s">
        <v>235</v>
      </c>
      <c r="E46" s="24" t="s">
        <v>236</v>
      </c>
      <c r="F46" s="23" t="s">
        <v>237</v>
      </c>
      <c r="G46" s="25" t="s">
        <v>26</v>
      </c>
      <c r="H46" s="26" t="s">
        <v>238</v>
      </c>
      <c r="I46" s="26"/>
      <c r="J46" s="26"/>
      <c r="K46" s="26">
        <v>5</v>
      </c>
      <c r="L46" s="26">
        <f t="shared" si="0"/>
        <v>0</v>
      </c>
      <c r="M46" s="26"/>
      <c r="N46" s="26" t="str">
        <f t="shared" si="1"/>
        <v/>
      </c>
      <c r="O46" s="26" t="str">
        <f t="shared" si="2"/>
        <v/>
      </c>
      <c r="P46" s="26">
        <f t="shared" si="3"/>
        <v>25</v>
      </c>
      <c r="Q46" s="26" t="str">
        <f t="shared" si="4"/>
        <v/>
      </c>
      <c r="R46" s="27" t="s">
        <v>28</v>
      </c>
      <c r="S46" s="27" t="s">
        <v>28</v>
      </c>
      <c r="T46" s="27" t="s">
        <v>28</v>
      </c>
      <c r="U46" s="28" t="s">
        <v>28</v>
      </c>
    </row>
    <row r="47" spans="1:21" ht="100.9" customHeight="1" x14ac:dyDescent="0.25">
      <c r="A47" s="21">
        <v>46</v>
      </c>
      <c r="B47" s="22" t="s">
        <v>207</v>
      </c>
      <c r="C47" s="6" t="s">
        <v>239</v>
      </c>
      <c r="D47" s="23" t="s">
        <v>240</v>
      </c>
      <c r="E47" s="24" t="s">
        <v>241</v>
      </c>
      <c r="F47" s="23" t="s">
        <v>242</v>
      </c>
      <c r="G47" s="25" t="s">
        <v>26</v>
      </c>
      <c r="H47" s="26" t="s">
        <v>243</v>
      </c>
      <c r="I47" s="26"/>
      <c r="J47" s="26"/>
      <c r="K47" s="26">
        <v>4</v>
      </c>
      <c r="L47" s="26">
        <f t="shared" si="0"/>
        <v>0</v>
      </c>
      <c r="M47" s="26"/>
      <c r="N47" s="26" t="str">
        <f t="shared" si="1"/>
        <v/>
      </c>
      <c r="O47" s="26" t="str">
        <f t="shared" si="2"/>
        <v/>
      </c>
      <c r="P47" s="26">
        <f t="shared" si="3"/>
        <v>20</v>
      </c>
      <c r="Q47" s="26" t="str">
        <f t="shared" si="4"/>
        <v/>
      </c>
      <c r="R47" s="27"/>
      <c r="S47" s="27"/>
      <c r="T47" s="27"/>
      <c r="U47" s="28"/>
    </row>
    <row r="48" spans="1:21" ht="72" customHeight="1" x14ac:dyDescent="0.25">
      <c r="A48" s="21">
        <v>47</v>
      </c>
      <c r="B48" s="22" t="s">
        <v>207</v>
      </c>
      <c r="C48" s="6" t="s">
        <v>244</v>
      </c>
      <c r="D48" s="23" t="s">
        <v>198</v>
      </c>
      <c r="E48" s="24" t="s">
        <v>245</v>
      </c>
      <c r="F48" s="23" t="s">
        <v>246</v>
      </c>
      <c r="G48" s="25" t="s">
        <v>26</v>
      </c>
      <c r="H48" s="26" t="s">
        <v>247</v>
      </c>
      <c r="I48" s="26"/>
      <c r="J48" s="26"/>
      <c r="K48" s="26">
        <v>4</v>
      </c>
      <c r="L48" s="26">
        <f t="shared" si="0"/>
        <v>0</v>
      </c>
      <c r="M48" s="26"/>
      <c r="N48" s="26" t="str">
        <f t="shared" si="1"/>
        <v/>
      </c>
      <c r="O48" s="26" t="str">
        <f t="shared" si="2"/>
        <v/>
      </c>
      <c r="P48" s="26">
        <f t="shared" si="3"/>
        <v>20</v>
      </c>
      <c r="Q48" s="26" t="str">
        <f t="shared" si="4"/>
        <v/>
      </c>
      <c r="R48" s="27"/>
      <c r="S48" s="27" t="s">
        <v>28</v>
      </c>
      <c r="T48" s="27" t="s">
        <v>28</v>
      </c>
      <c r="U48" s="28" t="s">
        <v>28</v>
      </c>
    </row>
    <row r="49" spans="1:21" ht="86.45" customHeight="1" x14ac:dyDescent="0.25">
      <c r="A49" s="21">
        <v>48</v>
      </c>
      <c r="B49" s="22" t="s">
        <v>207</v>
      </c>
      <c r="C49" s="29" t="s">
        <v>248</v>
      </c>
      <c r="D49" s="23" t="s">
        <v>249</v>
      </c>
      <c r="E49" s="23" t="s">
        <v>250</v>
      </c>
      <c r="F49" s="23" t="s">
        <v>251</v>
      </c>
      <c r="G49" s="25" t="s">
        <v>26</v>
      </c>
      <c r="H49" s="26" t="s">
        <v>252</v>
      </c>
      <c r="I49" s="26"/>
      <c r="J49" s="26"/>
      <c r="K49" s="26">
        <v>4</v>
      </c>
      <c r="L49" s="26">
        <f t="shared" si="0"/>
        <v>0</v>
      </c>
      <c r="M49" s="26"/>
      <c r="N49" s="26" t="str">
        <f t="shared" si="1"/>
        <v/>
      </c>
      <c r="O49" s="26" t="str">
        <f t="shared" si="2"/>
        <v/>
      </c>
      <c r="P49" s="26">
        <f t="shared" si="3"/>
        <v>20</v>
      </c>
      <c r="Q49" s="26" t="str">
        <f t="shared" si="4"/>
        <v/>
      </c>
      <c r="R49" s="27"/>
      <c r="S49" s="27" t="s">
        <v>28</v>
      </c>
      <c r="T49" s="27" t="s">
        <v>28</v>
      </c>
      <c r="U49" s="28"/>
    </row>
    <row r="50" spans="1:21" ht="72" customHeight="1" x14ac:dyDescent="0.25">
      <c r="A50" s="21">
        <v>49</v>
      </c>
      <c r="B50" s="22" t="s">
        <v>207</v>
      </c>
      <c r="C50" s="29" t="s">
        <v>253</v>
      </c>
      <c r="D50" s="23" t="s">
        <v>254</v>
      </c>
      <c r="E50" s="24" t="s">
        <v>255</v>
      </c>
      <c r="F50" s="23" t="s">
        <v>256</v>
      </c>
      <c r="G50" s="25" t="s">
        <v>26</v>
      </c>
      <c r="H50" s="26" t="s">
        <v>257</v>
      </c>
      <c r="I50" s="26"/>
      <c r="J50" s="26"/>
      <c r="K50" s="26">
        <v>3</v>
      </c>
      <c r="L50" s="26">
        <f t="shared" si="0"/>
        <v>0</v>
      </c>
      <c r="M50" s="26"/>
      <c r="N50" s="26" t="str">
        <f t="shared" si="1"/>
        <v/>
      </c>
      <c r="O50" s="26" t="str">
        <f t="shared" si="2"/>
        <v/>
      </c>
      <c r="P50" s="26">
        <f t="shared" si="3"/>
        <v>15</v>
      </c>
      <c r="Q50" s="26" t="str">
        <f t="shared" si="4"/>
        <v/>
      </c>
      <c r="R50" s="27"/>
      <c r="S50" s="27"/>
      <c r="T50" s="27"/>
      <c r="U50" s="28"/>
    </row>
    <row r="51" spans="1:21" ht="73.150000000000006" customHeight="1" x14ac:dyDescent="0.25">
      <c r="A51" s="21">
        <v>50</v>
      </c>
      <c r="B51" s="22" t="s">
        <v>207</v>
      </c>
      <c r="C51" s="29" t="s">
        <v>258</v>
      </c>
      <c r="D51" s="23" t="s">
        <v>198</v>
      </c>
      <c r="E51" s="24" t="s">
        <v>199</v>
      </c>
      <c r="F51" s="23" t="s">
        <v>200</v>
      </c>
      <c r="G51" s="25" t="s">
        <v>26</v>
      </c>
      <c r="H51" s="26" t="s">
        <v>259</v>
      </c>
      <c r="I51" s="26"/>
      <c r="J51" s="26"/>
      <c r="K51" s="26">
        <v>3</v>
      </c>
      <c r="L51" s="26">
        <f t="shared" si="0"/>
        <v>0</v>
      </c>
      <c r="M51" s="26"/>
      <c r="N51" s="26" t="str">
        <f t="shared" si="1"/>
        <v/>
      </c>
      <c r="O51" s="26" t="str">
        <f t="shared" si="2"/>
        <v/>
      </c>
      <c r="P51" s="26">
        <f t="shared" si="3"/>
        <v>15</v>
      </c>
      <c r="Q51" s="26" t="str">
        <f t="shared" si="4"/>
        <v/>
      </c>
      <c r="R51" s="27"/>
      <c r="S51" s="27"/>
      <c r="T51" s="27"/>
      <c r="U51" s="28" t="s">
        <v>28</v>
      </c>
    </row>
    <row r="52" spans="1:21" ht="72" customHeight="1" x14ac:dyDescent="0.25">
      <c r="A52" s="21">
        <v>51</v>
      </c>
      <c r="B52" s="22" t="s">
        <v>207</v>
      </c>
      <c r="C52" s="29" t="s">
        <v>260</v>
      </c>
      <c r="D52" s="23" t="s">
        <v>261</v>
      </c>
      <c r="E52" s="23" t="s">
        <v>262</v>
      </c>
      <c r="F52" s="23" t="s">
        <v>263</v>
      </c>
      <c r="G52" s="25" t="s">
        <v>26</v>
      </c>
      <c r="H52" s="26" t="s">
        <v>264</v>
      </c>
      <c r="I52" s="26"/>
      <c r="J52" s="26"/>
      <c r="K52" s="26">
        <v>4</v>
      </c>
      <c r="L52" s="26">
        <f t="shared" si="0"/>
        <v>0</v>
      </c>
      <c r="M52" s="26"/>
      <c r="N52" s="26" t="str">
        <f t="shared" si="1"/>
        <v/>
      </c>
      <c r="O52" s="26" t="str">
        <f t="shared" si="2"/>
        <v/>
      </c>
      <c r="P52" s="26">
        <f t="shared" si="3"/>
        <v>20</v>
      </c>
      <c r="Q52" s="26" t="str">
        <f t="shared" si="4"/>
        <v/>
      </c>
      <c r="R52" s="27"/>
      <c r="S52" s="27" t="s">
        <v>28</v>
      </c>
      <c r="T52" s="27" t="s">
        <v>28</v>
      </c>
      <c r="U52" s="28"/>
    </row>
    <row r="53" spans="1:21" ht="60" customHeight="1" x14ac:dyDescent="0.25">
      <c r="A53" s="21">
        <v>52</v>
      </c>
      <c r="B53" s="22" t="s">
        <v>207</v>
      </c>
      <c r="C53" s="6" t="s">
        <v>265</v>
      </c>
      <c r="D53" s="23" t="s">
        <v>266</v>
      </c>
      <c r="E53" s="24" t="s">
        <v>267</v>
      </c>
      <c r="F53" s="23" t="s">
        <v>268</v>
      </c>
      <c r="G53" s="25" t="s">
        <v>26</v>
      </c>
      <c r="H53" s="26" t="s">
        <v>269</v>
      </c>
      <c r="I53" s="26"/>
      <c r="J53" s="26"/>
      <c r="K53" s="26">
        <v>3</v>
      </c>
      <c r="L53" s="26">
        <f t="shared" si="0"/>
        <v>0</v>
      </c>
      <c r="M53" s="26"/>
      <c r="N53" s="26" t="str">
        <f t="shared" si="1"/>
        <v/>
      </c>
      <c r="O53" s="26" t="str">
        <f t="shared" si="2"/>
        <v/>
      </c>
      <c r="P53" s="26">
        <f t="shared" si="3"/>
        <v>15</v>
      </c>
      <c r="Q53" s="26" t="str">
        <f t="shared" si="4"/>
        <v/>
      </c>
      <c r="R53" s="27"/>
      <c r="S53" s="27"/>
      <c r="T53" s="27"/>
      <c r="U53" s="28"/>
    </row>
    <row r="54" spans="1:21" ht="60" customHeight="1" x14ac:dyDescent="0.25">
      <c r="A54" s="21">
        <v>53</v>
      </c>
      <c r="B54" s="22" t="s">
        <v>207</v>
      </c>
      <c r="C54" s="29" t="s">
        <v>270</v>
      </c>
      <c r="D54" s="23" t="s">
        <v>271</v>
      </c>
      <c r="E54" s="23" t="s">
        <v>272</v>
      </c>
      <c r="F54" s="23" t="s">
        <v>273</v>
      </c>
      <c r="G54" s="25" t="s">
        <v>26</v>
      </c>
      <c r="H54" s="26" t="s">
        <v>274</v>
      </c>
      <c r="I54" s="26"/>
      <c r="J54" s="26"/>
      <c r="K54" s="26">
        <v>4</v>
      </c>
      <c r="L54" s="26">
        <f t="shared" si="0"/>
        <v>0</v>
      </c>
      <c r="M54" s="26"/>
      <c r="N54" s="26" t="str">
        <f t="shared" si="1"/>
        <v/>
      </c>
      <c r="O54" s="26" t="str">
        <f t="shared" si="2"/>
        <v/>
      </c>
      <c r="P54" s="26">
        <f t="shared" si="3"/>
        <v>20</v>
      </c>
      <c r="Q54" s="26" t="str">
        <f t="shared" si="4"/>
        <v/>
      </c>
      <c r="R54" s="27"/>
      <c r="S54" s="27" t="s">
        <v>28</v>
      </c>
      <c r="T54" s="27" t="s">
        <v>28</v>
      </c>
      <c r="U54" s="28"/>
    </row>
    <row r="55" spans="1:21" ht="86.45" customHeight="1" x14ac:dyDescent="0.25">
      <c r="A55" s="21">
        <v>54</v>
      </c>
      <c r="B55" s="22" t="s">
        <v>207</v>
      </c>
      <c r="C55" s="29" t="s">
        <v>275</v>
      </c>
      <c r="D55" s="23" t="s">
        <v>276</v>
      </c>
      <c r="E55" s="23" t="s">
        <v>277</v>
      </c>
      <c r="F55" s="23" t="s">
        <v>278</v>
      </c>
      <c r="G55" s="25" t="s">
        <v>26</v>
      </c>
      <c r="H55" s="26" t="s">
        <v>279</v>
      </c>
      <c r="I55" s="26"/>
      <c r="J55" s="26"/>
      <c r="K55" s="26">
        <v>4</v>
      </c>
      <c r="L55" s="26">
        <f t="shared" si="0"/>
        <v>0</v>
      </c>
      <c r="M55" s="26"/>
      <c r="N55" s="26" t="str">
        <f t="shared" si="1"/>
        <v/>
      </c>
      <c r="O55" s="26" t="str">
        <f t="shared" si="2"/>
        <v/>
      </c>
      <c r="P55" s="26">
        <f t="shared" si="3"/>
        <v>20</v>
      </c>
      <c r="Q55" s="26" t="str">
        <f t="shared" si="4"/>
        <v/>
      </c>
      <c r="R55" s="27"/>
      <c r="S55" s="27" t="s">
        <v>28</v>
      </c>
      <c r="T55" s="27" t="s">
        <v>28</v>
      </c>
      <c r="U55" s="28"/>
    </row>
    <row r="56" spans="1:21" ht="94.15" customHeight="1" x14ac:dyDescent="0.25">
      <c r="A56" s="21">
        <v>55</v>
      </c>
      <c r="B56" s="22" t="s">
        <v>207</v>
      </c>
      <c r="C56" s="6" t="s">
        <v>280</v>
      </c>
      <c r="D56" s="23" t="s">
        <v>281</v>
      </c>
      <c r="E56" s="24" t="s">
        <v>282</v>
      </c>
      <c r="F56" s="23" t="s">
        <v>283</v>
      </c>
      <c r="G56" s="25" t="s">
        <v>26</v>
      </c>
      <c r="H56" s="26" t="s">
        <v>284</v>
      </c>
      <c r="I56" s="26"/>
      <c r="J56" s="26"/>
      <c r="K56" s="26">
        <v>3</v>
      </c>
      <c r="L56" s="26">
        <f t="shared" si="0"/>
        <v>0</v>
      </c>
      <c r="M56" s="26"/>
      <c r="N56" s="26" t="str">
        <f t="shared" si="1"/>
        <v/>
      </c>
      <c r="O56" s="26" t="str">
        <f t="shared" si="2"/>
        <v/>
      </c>
      <c r="P56" s="26">
        <f t="shared" si="3"/>
        <v>15</v>
      </c>
      <c r="Q56" s="26" t="str">
        <f t="shared" si="4"/>
        <v/>
      </c>
      <c r="R56" s="27"/>
      <c r="S56" s="27" t="s">
        <v>28</v>
      </c>
      <c r="T56" s="27"/>
      <c r="U56" s="28" t="s">
        <v>28</v>
      </c>
    </row>
    <row r="57" spans="1:21" ht="57.6" customHeight="1" x14ac:dyDescent="0.25">
      <c r="A57" s="21">
        <v>56</v>
      </c>
      <c r="B57" s="22" t="s">
        <v>207</v>
      </c>
      <c r="C57" s="29" t="s">
        <v>285</v>
      </c>
      <c r="D57" s="23" t="s">
        <v>286</v>
      </c>
      <c r="E57" s="24" t="s">
        <v>287</v>
      </c>
      <c r="F57" s="23" t="s">
        <v>288</v>
      </c>
      <c r="G57" s="25" t="s">
        <v>26</v>
      </c>
      <c r="H57" s="26" t="s">
        <v>289</v>
      </c>
      <c r="I57" s="26"/>
      <c r="J57" s="26"/>
      <c r="K57" s="26">
        <v>4</v>
      </c>
      <c r="L57" s="26">
        <f t="shared" si="0"/>
        <v>0</v>
      </c>
      <c r="M57" s="26"/>
      <c r="N57" s="26" t="str">
        <f t="shared" si="1"/>
        <v/>
      </c>
      <c r="O57" s="26" t="str">
        <f t="shared" si="2"/>
        <v/>
      </c>
      <c r="P57" s="26">
        <f t="shared" si="3"/>
        <v>20</v>
      </c>
      <c r="Q57" s="26" t="str">
        <f t="shared" si="4"/>
        <v/>
      </c>
      <c r="R57" s="27"/>
      <c r="S57" s="27" t="s">
        <v>28</v>
      </c>
      <c r="T57" s="27" t="s">
        <v>28</v>
      </c>
      <c r="U57" s="28"/>
    </row>
    <row r="58" spans="1:21" ht="75" customHeight="1" x14ac:dyDescent="0.25">
      <c r="A58" s="21">
        <v>57</v>
      </c>
      <c r="B58" s="22" t="s">
        <v>207</v>
      </c>
      <c r="C58" s="6" t="s">
        <v>290</v>
      </c>
      <c r="D58" s="23" t="s">
        <v>291</v>
      </c>
      <c r="E58" s="24" t="s">
        <v>292</v>
      </c>
      <c r="F58" s="23" t="s">
        <v>293</v>
      </c>
      <c r="G58" s="25" t="s">
        <v>26</v>
      </c>
      <c r="H58" s="26" t="s">
        <v>294</v>
      </c>
      <c r="I58" s="26"/>
      <c r="J58" s="26"/>
      <c r="K58" s="26">
        <v>2</v>
      </c>
      <c r="L58" s="26">
        <f t="shared" si="0"/>
        <v>0</v>
      </c>
      <c r="M58" s="26"/>
      <c r="N58" s="26" t="str">
        <f t="shared" si="1"/>
        <v/>
      </c>
      <c r="O58" s="26" t="str">
        <f t="shared" si="2"/>
        <v/>
      </c>
      <c r="P58" s="26">
        <f t="shared" si="3"/>
        <v>10</v>
      </c>
      <c r="Q58" s="26" t="str">
        <f t="shared" si="4"/>
        <v/>
      </c>
      <c r="R58" s="27"/>
      <c r="S58" s="27"/>
      <c r="T58" s="27"/>
      <c r="U58" s="28"/>
    </row>
    <row r="59" spans="1:21" ht="57.6" customHeight="1" x14ac:dyDescent="0.25">
      <c r="A59" s="21">
        <v>58</v>
      </c>
      <c r="B59" s="22" t="s">
        <v>207</v>
      </c>
      <c r="C59" s="6" t="s">
        <v>295</v>
      </c>
      <c r="D59" s="23" t="s">
        <v>296</v>
      </c>
      <c r="E59" s="24" t="s">
        <v>297</v>
      </c>
      <c r="F59" s="23" t="s">
        <v>298</v>
      </c>
      <c r="G59" s="25" t="s">
        <v>26</v>
      </c>
      <c r="H59" s="26" t="s">
        <v>299</v>
      </c>
      <c r="I59" s="26"/>
      <c r="J59" s="26"/>
      <c r="K59" s="26">
        <v>4</v>
      </c>
      <c r="L59" s="26">
        <f t="shared" si="0"/>
        <v>0</v>
      </c>
      <c r="M59" s="26"/>
      <c r="N59" s="26" t="str">
        <f t="shared" si="1"/>
        <v/>
      </c>
      <c r="O59" s="26" t="str">
        <f t="shared" si="2"/>
        <v/>
      </c>
      <c r="P59" s="26">
        <f t="shared" si="3"/>
        <v>20</v>
      </c>
      <c r="Q59" s="26" t="str">
        <f t="shared" si="4"/>
        <v/>
      </c>
      <c r="R59" s="27" t="s">
        <v>28</v>
      </c>
      <c r="S59" s="27" t="s">
        <v>28</v>
      </c>
      <c r="T59" s="27" t="s">
        <v>28</v>
      </c>
      <c r="U59" s="28" t="s">
        <v>28</v>
      </c>
    </row>
    <row r="60" spans="1:21" ht="86.45" customHeight="1" x14ac:dyDescent="0.25">
      <c r="A60" s="21">
        <v>59</v>
      </c>
      <c r="B60" s="22" t="s">
        <v>207</v>
      </c>
      <c r="C60" s="6" t="s">
        <v>300</v>
      </c>
      <c r="D60" s="23" t="s">
        <v>198</v>
      </c>
      <c r="E60" s="24" t="s">
        <v>199</v>
      </c>
      <c r="F60" s="23" t="s">
        <v>200</v>
      </c>
      <c r="G60" s="25" t="s">
        <v>26</v>
      </c>
      <c r="H60" s="26" t="s">
        <v>301</v>
      </c>
      <c r="I60" s="26"/>
      <c r="J60" s="26"/>
      <c r="K60" s="26">
        <v>3</v>
      </c>
      <c r="L60" s="26">
        <f t="shared" si="0"/>
        <v>0</v>
      </c>
      <c r="M60" s="26"/>
      <c r="N60" s="26" t="str">
        <f t="shared" si="1"/>
        <v/>
      </c>
      <c r="O60" s="26" t="str">
        <f t="shared" si="2"/>
        <v/>
      </c>
      <c r="P60" s="26">
        <f t="shared" si="3"/>
        <v>15</v>
      </c>
      <c r="Q60" s="26" t="str">
        <f t="shared" si="4"/>
        <v/>
      </c>
      <c r="R60" s="27"/>
      <c r="S60" s="27" t="s">
        <v>28</v>
      </c>
      <c r="T60" s="27" t="s">
        <v>28</v>
      </c>
      <c r="U60" s="28"/>
    </row>
    <row r="61" spans="1:21" ht="60" customHeight="1" x14ac:dyDescent="0.25">
      <c r="A61" s="21">
        <v>60</v>
      </c>
      <c r="B61" s="22" t="s">
        <v>207</v>
      </c>
      <c r="C61" s="6" t="s">
        <v>302</v>
      </c>
      <c r="D61" s="23" t="s">
        <v>198</v>
      </c>
      <c r="E61" s="24" t="s">
        <v>199</v>
      </c>
      <c r="F61" s="23" t="s">
        <v>200</v>
      </c>
      <c r="G61" s="25" t="s">
        <v>26</v>
      </c>
      <c r="H61" s="26" t="s">
        <v>303</v>
      </c>
      <c r="I61" s="26"/>
      <c r="J61" s="26"/>
      <c r="K61" s="26">
        <v>3</v>
      </c>
      <c r="L61" s="26">
        <f t="shared" si="0"/>
        <v>0</v>
      </c>
      <c r="M61" s="26"/>
      <c r="N61" s="26" t="str">
        <f t="shared" si="1"/>
        <v/>
      </c>
      <c r="O61" s="26" t="str">
        <f t="shared" si="2"/>
        <v/>
      </c>
      <c r="P61" s="26">
        <f t="shared" si="3"/>
        <v>15</v>
      </c>
      <c r="Q61" s="26" t="str">
        <f t="shared" si="4"/>
        <v/>
      </c>
      <c r="R61" s="27" t="s">
        <v>28</v>
      </c>
      <c r="S61" s="27" t="s">
        <v>28</v>
      </c>
      <c r="T61" s="27" t="s">
        <v>28</v>
      </c>
      <c r="U61" s="28" t="s">
        <v>28</v>
      </c>
    </row>
    <row r="62" spans="1:21" ht="60" customHeight="1" x14ac:dyDescent="0.25">
      <c r="A62" s="21">
        <v>61</v>
      </c>
      <c r="B62" s="22" t="s">
        <v>207</v>
      </c>
      <c r="C62" s="29" t="s">
        <v>304</v>
      </c>
      <c r="D62" s="23" t="s">
        <v>305</v>
      </c>
      <c r="E62" s="24" t="s">
        <v>306</v>
      </c>
      <c r="F62" s="23" t="s">
        <v>307</v>
      </c>
      <c r="G62" s="25" t="s">
        <v>26</v>
      </c>
      <c r="H62" s="26" t="s">
        <v>308</v>
      </c>
      <c r="I62" s="26"/>
      <c r="J62" s="26"/>
      <c r="K62" s="26">
        <v>3</v>
      </c>
      <c r="L62" s="26">
        <f t="shared" si="0"/>
        <v>0</v>
      </c>
      <c r="M62" s="26"/>
      <c r="N62" s="26" t="str">
        <f t="shared" si="1"/>
        <v/>
      </c>
      <c r="O62" s="26" t="str">
        <f t="shared" si="2"/>
        <v/>
      </c>
      <c r="P62" s="26">
        <f t="shared" si="3"/>
        <v>15</v>
      </c>
      <c r="Q62" s="26" t="str">
        <f t="shared" si="4"/>
        <v/>
      </c>
      <c r="R62" s="27"/>
      <c r="S62" s="27" t="s">
        <v>28</v>
      </c>
      <c r="T62" s="27" t="s">
        <v>28</v>
      </c>
      <c r="U62" s="28"/>
    </row>
    <row r="63" spans="1:21" ht="60" customHeight="1" x14ac:dyDescent="0.25">
      <c r="A63" s="21">
        <v>62</v>
      </c>
      <c r="B63" s="22" t="s">
        <v>207</v>
      </c>
      <c r="C63" s="6" t="s">
        <v>309</v>
      </c>
      <c r="D63" s="23" t="s">
        <v>291</v>
      </c>
      <c r="E63" s="24" t="s">
        <v>292</v>
      </c>
      <c r="F63" s="23" t="s">
        <v>293</v>
      </c>
      <c r="G63" s="25" t="s">
        <v>26</v>
      </c>
      <c r="H63" s="26" t="s">
        <v>310</v>
      </c>
      <c r="I63" s="26"/>
      <c r="J63" s="26"/>
      <c r="K63" s="26">
        <v>2</v>
      </c>
      <c r="L63" s="26">
        <f t="shared" si="0"/>
        <v>0</v>
      </c>
      <c r="M63" s="26"/>
      <c r="N63" s="26" t="str">
        <f t="shared" si="1"/>
        <v/>
      </c>
      <c r="O63" s="26" t="str">
        <f t="shared" si="2"/>
        <v/>
      </c>
      <c r="P63" s="26">
        <f t="shared" si="3"/>
        <v>10</v>
      </c>
      <c r="Q63" s="26" t="str">
        <f t="shared" si="4"/>
        <v/>
      </c>
      <c r="R63" s="27"/>
      <c r="S63" s="27" t="s">
        <v>28</v>
      </c>
      <c r="T63" s="27"/>
      <c r="U63" s="28" t="s">
        <v>28</v>
      </c>
    </row>
    <row r="64" spans="1:21" ht="98.45" customHeight="1" x14ac:dyDescent="0.25">
      <c r="A64" s="21">
        <v>63</v>
      </c>
      <c r="B64" s="22" t="s">
        <v>207</v>
      </c>
      <c r="C64" s="29" t="s">
        <v>311</v>
      </c>
      <c r="D64" s="23" t="s">
        <v>312</v>
      </c>
      <c r="E64" s="24" t="s">
        <v>313</v>
      </c>
      <c r="F64" s="23" t="s">
        <v>314</v>
      </c>
      <c r="G64" s="25" t="s">
        <v>26</v>
      </c>
      <c r="H64" s="26" t="s">
        <v>315</v>
      </c>
      <c r="I64" s="26"/>
      <c r="J64" s="26"/>
      <c r="K64" s="26">
        <v>3</v>
      </c>
      <c r="L64" s="26">
        <f t="shared" si="0"/>
        <v>0</v>
      </c>
      <c r="M64" s="26"/>
      <c r="N64" s="26" t="str">
        <f t="shared" si="1"/>
        <v/>
      </c>
      <c r="O64" s="26" t="str">
        <f t="shared" si="2"/>
        <v/>
      </c>
      <c r="P64" s="26">
        <f t="shared" si="3"/>
        <v>15</v>
      </c>
      <c r="Q64" s="26" t="str">
        <f t="shared" si="4"/>
        <v/>
      </c>
      <c r="R64" s="27"/>
      <c r="S64" s="27"/>
      <c r="T64" s="27"/>
      <c r="U64" s="28"/>
    </row>
    <row r="65" spans="1:21" ht="60" customHeight="1" x14ac:dyDescent="0.25">
      <c r="A65" s="21">
        <v>64</v>
      </c>
      <c r="B65" s="22" t="s">
        <v>207</v>
      </c>
      <c r="C65" s="6" t="s">
        <v>316</v>
      </c>
      <c r="D65" s="23" t="s">
        <v>317</v>
      </c>
      <c r="E65" s="24" t="s">
        <v>318</v>
      </c>
      <c r="F65" s="23" t="s">
        <v>319</v>
      </c>
      <c r="G65" s="25" t="s">
        <v>26</v>
      </c>
      <c r="H65" s="26" t="s">
        <v>320</v>
      </c>
      <c r="I65" s="26"/>
      <c r="J65" s="26"/>
      <c r="K65" s="26">
        <v>5</v>
      </c>
      <c r="L65" s="26">
        <f t="shared" si="0"/>
        <v>0</v>
      </c>
      <c r="M65" s="26"/>
      <c r="N65" s="26" t="str">
        <f t="shared" si="1"/>
        <v/>
      </c>
      <c r="O65" s="26" t="str">
        <f t="shared" si="2"/>
        <v/>
      </c>
      <c r="P65" s="26">
        <f t="shared" si="3"/>
        <v>25</v>
      </c>
      <c r="Q65" s="26" t="str">
        <f t="shared" si="4"/>
        <v/>
      </c>
      <c r="R65" s="27"/>
      <c r="S65" s="27"/>
      <c r="T65" s="27"/>
      <c r="U65" s="28"/>
    </row>
    <row r="66" spans="1:21" ht="45" customHeight="1" x14ac:dyDescent="0.25">
      <c r="A66" s="21">
        <v>65</v>
      </c>
      <c r="B66" s="22" t="s">
        <v>207</v>
      </c>
      <c r="C66" s="6" t="s">
        <v>321</v>
      </c>
      <c r="D66" s="23" t="s">
        <v>322</v>
      </c>
      <c r="E66" s="24" t="s">
        <v>323</v>
      </c>
      <c r="F66" s="23" t="s">
        <v>324</v>
      </c>
      <c r="G66" s="25" t="s">
        <v>26</v>
      </c>
      <c r="H66" s="26" t="s">
        <v>325</v>
      </c>
      <c r="I66" s="26"/>
      <c r="J66" s="26"/>
      <c r="K66" s="26">
        <v>3</v>
      </c>
      <c r="L66" s="26">
        <f t="shared" ref="L66:L129" si="5">IF(M66="",0,N66)</f>
        <v>0</v>
      </c>
      <c r="M66" s="26"/>
      <c r="N66" s="26" t="str">
        <f t="shared" ref="N66:N129" si="6">IF(M66="", "", IF(M66=1,1,IF(M66=2,3,IF(M66=3,5,""))))</f>
        <v/>
      </c>
      <c r="O66" s="26" t="str">
        <f t="shared" ref="O66:O129" si="7">IF(M66="", "", N66 * IF(K66="",1,K66))</f>
        <v/>
      </c>
      <c r="P66" s="26">
        <f t="shared" ref="P66:P129" si="8">5 * IF(K66="",1,K66)</f>
        <v>15</v>
      </c>
      <c r="Q66" s="26" t="str">
        <f t="shared" ref="Q66:Q129" si="9">IF(M66="", "", (O66 / P66) * 5)</f>
        <v/>
      </c>
      <c r="R66" s="27"/>
      <c r="S66" s="27"/>
      <c r="T66" s="27"/>
      <c r="U66" s="28"/>
    </row>
    <row r="67" spans="1:21" ht="60" customHeight="1" x14ac:dyDescent="0.25">
      <c r="A67" s="21">
        <v>66</v>
      </c>
      <c r="B67" s="22" t="s">
        <v>207</v>
      </c>
      <c r="C67" s="29" t="s">
        <v>326</v>
      </c>
      <c r="D67" s="23" t="s">
        <v>327</v>
      </c>
      <c r="E67" s="24" t="s">
        <v>328</v>
      </c>
      <c r="F67" s="23" t="s">
        <v>329</v>
      </c>
      <c r="G67" s="25" t="s">
        <v>26</v>
      </c>
      <c r="H67" s="26" t="s">
        <v>330</v>
      </c>
      <c r="I67" s="26"/>
      <c r="J67" s="26"/>
      <c r="K67" s="26">
        <v>4</v>
      </c>
      <c r="L67" s="26">
        <f t="shared" si="5"/>
        <v>0</v>
      </c>
      <c r="M67" s="26"/>
      <c r="N67" s="26" t="str">
        <f t="shared" si="6"/>
        <v/>
      </c>
      <c r="O67" s="26" t="str">
        <f t="shared" si="7"/>
        <v/>
      </c>
      <c r="P67" s="26">
        <f t="shared" si="8"/>
        <v>20</v>
      </c>
      <c r="Q67" s="26" t="str">
        <f t="shared" si="9"/>
        <v/>
      </c>
      <c r="R67" s="27"/>
      <c r="S67" s="27"/>
      <c r="T67" s="27"/>
      <c r="U67" s="28"/>
    </row>
    <row r="68" spans="1:21" ht="45" customHeight="1" x14ac:dyDescent="0.25">
      <c r="A68" s="21">
        <v>67</v>
      </c>
      <c r="B68" s="22" t="s">
        <v>207</v>
      </c>
      <c r="C68" s="6" t="s">
        <v>331</v>
      </c>
      <c r="D68" s="23" t="s">
        <v>332</v>
      </c>
      <c r="E68" s="24" t="s">
        <v>333</v>
      </c>
      <c r="F68" s="23" t="s">
        <v>334</v>
      </c>
      <c r="G68" s="25" t="s">
        <v>26</v>
      </c>
      <c r="H68" s="26" t="s">
        <v>335</v>
      </c>
      <c r="I68" s="26"/>
      <c r="J68" s="26"/>
      <c r="K68" s="26">
        <v>4</v>
      </c>
      <c r="L68" s="26">
        <f t="shared" si="5"/>
        <v>0</v>
      </c>
      <c r="M68" s="26"/>
      <c r="N68" s="26" t="str">
        <f t="shared" si="6"/>
        <v/>
      </c>
      <c r="O68" s="26" t="str">
        <f t="shared" si="7"/>
        <v/>
      </c>
      <c r="P68" s="26">
        <f t="shared" si="8"/>
        <v>20</v>
      </c>
      <c r="Q68" s="26" t="str">
        <f t="shared" si="9"/>
        <v/>
      </c>
      <c r="R68" s="27"/>
      <c r="S68" s="27" t="s">
        <v>28</v>
      </c>
      <c r="T68" s="27" t="s">
        <v>28</v>
      </c>
      <c r="U68" s="28" t="s">
        <v>28</v>
      </c>
    </row>
    <row r="69" spans="1:21" ht="60" customHeight="1" x14ac:dyDescent="0.25">
      <c r="A69" s="21">
        <v>68</v>
      </c>
      <c r="B69" s="22" t="s">
        <v>207</v>
      </c>
      <c r="C69" s="29" t="s">
        <v>336</v>
      </c>
      <c r="D69" s="23" t="s">
        <v>317</v>
      </c>
      <c r="E69" s="24" t="s">
        <v>337</v>
      </c>
      <c r="F69" s="23" t="s">
        <v>319</v>
      </c>
      <c r="G69" s="25" t="s">
        <v>26</v>
      </c>
      <c r="H69" s="26" t="s">
        <v>338</v>
      </c>
      <c r="I69" s="26"/>
      <c r="J69" s="26"/>
      <c r="K69" s="26">
        <v>5</v>
      </c>
      <c r="L69" s="26">
        <f t="shared" si="5"/>
        <v>0</v>
      </c>
      <c r="M69" s="26"/>
      <c r="N69" s="26" t="str">
        <f t="shared" si="6"/>
        <v/>
      </c>
      <c r="O69" s="26" t="str">
        <f t="shared" si="7"/>
        <v/>
      </c>
      <c r="P69" s="26">
        <f t="shared" si="8"/>
        <v>25</v>
      </c>
      <c r="Q69" s="26" t="str">
        <f t="shared" si="9"/>
        <v/>
      </c>
      <c r="R69" s="27" t="s">
        <v>28</v>
      </c>
      <c r="S69" s="27" t="s">
        <v>28</v>
      </c>
      <c r="T69" s="27" t="s">
        <v>28</v>
      </c>
      <c r="U69" s="28" t="s">
        <v>28</v>
      </c>
    </row>
    <row r="70" spans="1:21" ht="60" customHeight="1" x14ac:dyDescent="0.25">
      <c r="A70" s="21">
        <v>69</v>
      </c>
      <c r="B70" s="22" t="s">
        <v>207</v>
      </c>
      <c r="C70" s="6" t="s">
        <v>339</v>
      </c>
      <c r="D70" s="23" t="s">
        <v>332</v>
      </c>
      <c r="E70" s="24" t="s">
        <v>333</v>
      </c>
      <c r="F70" s="23" t="s">
        <v>334</v>
      </c>
      <c r="G70" s="25" t="s">
        <v>26</v>
      </c>
      <c r="H70" s="26" t="s">
        <v>340</v>
      </c>
      <c r="I70" s="26"/>
      <c r="J70" s="26"/>
      <c r="K70" s="26">
        <v>4</v>
      </c>
      <c r="L70" s="26">
        <f t="shared" si="5"/>
        <v>0</v>
      </c>
      <c r="M70" s="26"/>
      <c r="N70" s="26" t="str">
        <f t="shared" si="6"/>
        <v/>
      </c>
      <c r="O70" s="26" t="str">
        <f t="shared" si="7"/>
        <v/>
      </c>
      <c r="P70" s="26">
        <f t="shared" si="8"/>
        <v>20</v>
      </c>
      <c r="Q70" s="26" t="str">
        <f t="shared" si="9"/>
        <v/>
      </c>
      <c r="R70" s="27"/>
      <c r="S70" s="27" t="s">
        <v>28</v>
      </c>
      <c r="T70" s="27" t="s">
        <v>28</v>
      </c>
      <c r="U70" s="28"/>
    </row>
    <row r="71" spans="1:21" ht="60" customHeight="1" x14ac:dyDescent="0.25">
      <c r="A71" s="21">
        <v>70</v>
      </c>
      <c r="B71" s="22" t="s">
        <v>207</v>
      </c>
      <c r="C71" s="6" t="s">
        <v>341</v>
      </c>
      <c r="D71" s="23" t="s">
        <v>342</v>
      </c>
      <c r="E71" s="24" t="s">
        <v>199</v>
      </c>
      <c r="F71" s="23" t="s">
        <v>200</v>
      </c>
      <c r="G71" s="25" t="s">
        <v>26</v>
      </c>
      <c r="H71" s="26" t="s">
        <v>343</v>
      </c>
      <c r="I71" s="26"/>
      <c r="J71" s="26"/>
      <c r="K71" s="26">
        <v>4</v>
      </c>
      <c r="L71" s="26">
        <f t="shared" si="5"/>
        <v>0</v>
      </c>
      <c r="M71" s="26"/>
      <c r="N71" s="26" t="str">
        <f t="shared" si="6"/>
        <v/>
      </c>
      <c r="O71" s="26" t="str">
        <f t="shared" si="7"/>
        <v/>
      </c>
      <c r="P71" s="26">
        <f t="shared" si="8"/>
        <v>20</v>
      </c>
      <c r="Q71" s="26" t="str">
        <f t="shared" si="9"/>
        <v/>
      </c>
      <c r="R71" s="27"/>
      <c r="S71" s="27"/>
      <c r="T71" s="27"/>
      <c r="U71" s="28"/>
    </row>
    <row r="72" spans="1:21" ht="60" customHeight="1" x14ac:dyDescent="0.25">
      <c r="A72" s="21">
        <v>71</v>
      </c>
      <c r="B72" s="22" t="s">
        <v>207</v>
      </c>
      <c r="C72" s="29" t="s">
        <v>344</v>
      </c>
      <c r="D72" s="23" t="s">
        <v>312</v>
      </c>
      <c r="E72" s="24" t="s">
        <v>313</v>
      </c>
      <c r="F72" s="23" t="s">
        <v>314</v>
      </c>
      <c r="G72" s="25" t="s">
        <v>26</v>
      </c>
      <c r="H72" s="26" t="s">
        <v>345</v>
      </c>
      <c r="I72" s="26"/>
      <c r="J72" s="26"/>
      <c r="K72" s="26">
        <v>3</v>
      </c>
      <c r="L72" s="26">
        <f t="shared" si="5"/>
        <v>0</v>
      </c>
      <c r="M72" s="26"/>
      <c r="N72" s="26" t="str">
        <f t="shared" si="6"/>
        <v/>
      </c>
      <c r="O72" s="26" t="str">
        <f t="shared" si="7"/>
        <v/>
      </c>
      <c r="P72" s="26">
        <f t="shared" si="8"/>
        <v>15</v>
      </c>
      <c r="Q72" s="26" t="str">
        <f t="shared" si="9"/>
        <v/>
      </c>
      <c r="R72" s="27" t="s">
        <v>28</v>
      </c>
      <c r="S72" s="27" t="s">
        <v>28</v>
      </c>
      <c r="T72" s="27" t="s">
        <v>28</v>
      </c>
      <c r="U72" s="28" t="s">
        <v>28</v>
      </c>
    </row>
    <row r="73" spans="1:21" ht="45" customHeight="1" x14ac:dyDescent="0.25">
      <c r="A73" s="21">
        <v>72</v>
      </c>
      <c r="B73" s="22" t="s">
        <v>207</v>
      </c>
      <c r="C73" s="29" t="s">
        <v>346</v>
      </c>
      <c r="D73" s="23" t="s">
        <v>322</v>
      </c>
      <c r="E73" s="24" t="s">
        <v>323</v>
      </c>
      <c r="F73" s="23" t="s">
        <v>324</v>
      </c>
      <c r="G73" s="25" t="s">
        <v>26</v>
      </c>
      <c r="H73" s="26" t="s">
        <v>347</v>
      </c>
      <c r="I73" s="26"/>
      <c r="J73" s="26"/>
      <c r="K73" s="26">
        <v>3</v>
      </c>
      <c r="L73" s="26">
        <f t="shared" si="5"/>
        <v>0</v>
      </c>
      <c r="M73" s="26"/>
      <c r="N73" s="26" t="str">
        <f t="shared" si="6"/>
        <v/>
      </c>
      <c r="O73" s="26" t="str">
        <f t="shared" si="7"/>
        <v/>
      </c>
      <c r="P73" s="26">
        <f t="shared" si="8"/>
        <v>15</v>
      </c>
      <c r="Q73" s="26" t="str">
        <f t="shared" si="9"/>
        <v/>
      </c>
      <c r="R73" s="27" t="s">
        <v>28</v>
      </c>
      <c r="S73" s="27" t="s">
        <v>28</v>
      </c>
      <c r="T73" s="27" t="s">
        <v>28</v>
      </c>
      <c r="U73" s="28"/>
    </row>
    <row r="74" spans="1:21" ht="60" customHeight="1" x14ac:dyDescent="0.25">
      <c r="A74" s="21">
        <v>73</v>
      </c>
      <c r="B74" s="22" t="s">
        <v>207</v>
      </c>
      <c r="C74" s="6" t="s">
        <v>348</v>
      </c>
      <c r="D74" s="23" t="s">
        <v>317</v>
      </c>
      <c r="E74" s="24" t="s">
        <v>318</v>
      </c>
      <c r="F74" s="23" t="s">
        <v>319</v>
      </c>
      <c r="G74" s="25" t="s">
        <v>26</v>
      </c>
      <c r="H74" s="26" t="s">
        <v>349</v>
      </c>
      <c r="I74" s="26"/>
      <c r="J74" s="26"/>
      <c r="K74" s="26">
        <v>3</v>
      </c>
      <c r="L74" s="26">
        <f t="shared" si="5"/>
        <v>0</v>
      </c>
      <c r="M74" s="26"/>
      <c r="N74" s="26" t="str">
        <f t="shared" si="6"/>
        <v/>
      </c>
      <c r="O74" s="26" t="str">
        <f t="shared" si="7"/>
        <v/>
      </c>
      <c r="P74" s="26">
        <f t="shared" si="8"/>
        <v>15</v>
      </c>
      <c r="Q74" s="26" t="str">
        <f t="shared" si="9"/>
        <v/>
      </c>
      <c r="R74" s="27" t="s">
        <v>28</v>
      </c>
      <c r="S74" s="27" t="s">
        <v>28</v>
      </c>
      <c r="T74" s="27" t="s">
        <v>28</v>
      </c>
      <c r="U74" s="28" t="s">
        <v>28</v>
      </c>
    </row>
    <row r="75" spans="1:21" ht="60" customHeight="1" x14ac:dyDescent="0.25">
      <c r="A75" s="21">
        <v>74</v>
      </c>
      <c r="B75" s="22" t="s">
        <v>207</v>
      </c>
      <c r="C75" s="6" t="s">
        <v>350</v>
      </c>
      <c r="D75" s="23" t="s">
        <v>351</v>
      </c>
      <c r="E75" s="24" t="s">
        <v>352</v>
      </c>
      <c r="F75" s="23" t="s">
        <v>353</v>
      </c>
      <c r="G75" s="25" t="s">
        <v>26</v>
      </c>
      <c r="H75" s="26" t="s">
        <v>354</v>
      </c>
      <c r="I75" s="26"/>
      <c r="J75" s="26"/>
      <c r="K75" s="26">
        <v>4</v>
      </c>
      <c r="L75" s="26">
        <f t="shared" si="5"/>
        <v>0</v>
      </c>
      <c r="M75" s="26"/>
      <c r="N75" s="26" t="str">
        <f t="shared" si="6"/>
        <v/>
      </c>
      <c r="O75" s="26" t="str">
        <f t="shared" si="7"/>
        <v/>
      </c>
      <c r="P75" s="26">
        <f t="shared" si="8"/>
        <v>20</v>
      </c>
      <c r="Q75" s="26" t="str">
        <f t="shared" si="9"/>
        <v/>
      </c>
      <c r="R75" s="27"/>
      <c r="S75" s="27" t="s">
        <v>28</v>
      </c>
      <c r="T75" s="27"/>
      <c r="U75" s="28"/>
    </row>
    <row r="76" spans="1:21" ht="60" customHeight="1" x14ac:dyDescent="0.25">
      <c r="A76" s="21">
        <v>75</v>
      </c>
      <c r="B76" s="22" t="s">
        <v>207</v>
      </c>
      <c r="C76" s="6" t="s">
        <v>355</v>
      </c>
      <c r="D76" s="23" t="s">
        <v>356</v>
      </c>
      <c r="E76" s="24" t="s">
        <v>357</v>
      </c>
      <c r="F76" s="23" t="s">
        <v>358</v>
      </c>
      <c r="G76" s="25" t="s">
        <v>26</v>
      </c>
      <c r="H76" s="26" t="s">
        <v>359</v>
      </c>
      <c r="I76" s="26"/>
      <c r="J76" s="26"/>
      <c r="K76" s="26">
        <v>3</v>
      </c>
      <c r="L76" s="26">
        <f t="shared" si="5"/>
        <v>0</v>
      </c>
      <c r="M76" s="26"/>
      <c r="N76" s="26" t="str">
        <f t="shared" si="6"/>
        <v/>
      </c>
      <c r="O76" s="26" t="str">
        <f t="shared" si="7"/>
        <v/>
      </c>
      <c r="P76" s="26">
        <f t="shared" si="8"/>
        <v>15</v>
      </c>
      <c r="Q76" s="26" t="str">
        <f t="shared" si="9"/>
        <v/>
      </c>
      <c r="R76" s="27"/>
      <c r="S76" s="27"/>
      <c r="T76" s="27"/>
      <c r="U76" s="28"/>
    </row>
    <row r="77" spans="1:21" ht="60" customHeight="1" x14ac:dyDescent="0.25">
      <c r="A77" s="21">
        <v>76</v>
      </c>
      <c r="B77" s="22" t="s">
        <v>207</v>
      </c>
      <c r="C77" s="29" t="s">
        <v>360</v>
      </c>
      <c r="D77" s="23" t="s">
        <v>351</v>
      </c>
      <c r="E77" s="24" t="s">
        <v>352</v>
      </c>
      <c r="F77" s="23" t="s">
        <v>353</v>
      </c>
      <c r="G77" s="25" t="s">
        <v>26</v>
      </c>
      <c r="H77" s="26" t="s">
        <v>361</v>
      </c>
      <c r="I77" s="26"/>
      <c r="J77" s="26"/>
      <c r="K77" s="26">
        <v>4</v>
      </c>
      <c r="L77" s="26">
        <f t="shared" si="5"/>
        <v>0</v>
      </c>
      <c r="M77" s="26"/>
      <c r="N77" s="26" t="str">
        <f t="shared" si="6"/>
        <v/>
      </c>
      <c r="O77" s="26" t="str">
        <f t="shared" si="7"/>
        <v/>
      </c>
      <c r="P77" s="26">
        <f t="shared" si="8"/>
        <v>20</v>
      </c>
      <c r="Q77" s="26" t="str">
        <f t="shared" si="9"/>
        <v/>
      </c>
      <c r="R77" s="27"/>
      <c r="S77" s="27" t="s">
        <v>28</v>
      </c>
      <c r="T77" s="27" t="s">
        <v>28</v>
      </c>
      <c r="U77" s="28"/>
    </row>
    <row r="78" spans="1:21" ht="60" customHeight="1" x14ac:dyDescent="0.25">
      <c r="A78" s="21">
        <v>77</v>
      </c>
      <c r="B78" s="22" t="s">
        <v>207</v>
      </c>
      <c r="C78" s="6" t="s">
        <v>362</v>
      </c>
      <c r="D78" s="23" t="s">
        <v>363</v>
      </c>
      <c r="E78" s="24" t="s">
        <v>364</v>
      </c>
      <c r="F78" s="23" t="s">
        <v>365</v>
      </c>
      <c r="G78" s="25" t="s">
        <v>26</v>
      </c>
      <c r="H78" s="26" t="s">
        <v>366</v>
      </c>
      <c r="I78" s="26"/>
      <c r="J78" s="26"/>
      <c r="K78" s="26">
        <v>3</v>
      </c>
      <c r="L78" s="26">
        <f t="shared" si="5"/>
        <v>0</v>
      </c>
      <c r="M78" s="26"/>
      <c r="N78" s="26" t="str">
        <f t="shared" si="6"/>
        <v/>
      </c>
      <c r="O78" s="26" t="str">
        <f t="shared" si="7"/>
        <v/>
      </c>
      <c r="P78" s="26">
        <f t="shared" si="8"/>
        <v>15</v>
      </c>
      <c r="Q78" s="26" t="str">
        <f t="shared" si="9"/>
        <v/>
      </c>
      <c r="R78" s="27"/>
      <c r="S78" s="27"/>
      <c r="T78" s="27" t="s">
        <v>28</v>
      </c>
      <c r="U78" s="28"/>
    </row>
    <row r="79" spans="1:21" ht="75" customHeight="1" x14ac:dyDescent="0.25">
      <c r="A79" s="21">
        <v>78</v>
      </c>
      <c r="B79" s="22" t="s">
        <v>207</v>
      </c>
      <c r="C79" s="29" t="s">
        <v>367</v>
      </c>
      <c r="D79" s="23" t="s">
        <v>368</v>
      </c>
      <c r="E79" s="24" t="s">
        <v>369</v>
      </c>
      <c r="F79" s="23" t="s">
        <v>370</v>
      </c>
      <c r="G79" s="25" t="s">
        <v>26</v>
      </c>
      <c r="H79" s="26" t="s">
        <v>371</v>
      </c>
      <c r="I79" s="26"/>
      <c r="J79" s="26"/>
      <c r="K79" s="26">
        <v>2</v>
      </c>
      <c r="L79" s="26">
        <f t="shared" si="5"/>
        <v>0</v>
      </c>
      <c r="M79" s="26"/>
      <c r="N79" s="26" t="str">
        <f t="shared" si="6"/>
        <v/>
      </c>
      <c r="O79" s="26" t="str">
        <f t="shared" si="7"/>
        <v/>
      </c>
      <c r="P79" s="26">
        <f t="shared" si="8"/>
        <v>10</v>
      </c>
      <c r="Q79" s="26" t="str">
        <f t="shared" si="9"/>
        <v/>
      </c>
      <c r="R79" s="27"/>
      <c r="S79" s="27"/>
      <c r="T79" s="27"/>
      <c r="U79" s="28"/>
    </row>
    <row r="80" spans="1:21" ht="60" customHeight="1" x14ac:dyDescent="0.25">
      <c r="A80" s="21">
        <v>79</v>
      </c>
      <c r="B80" s="22" t="s">
        <v>207</v>
      </c>
      <c r="C80" s="29" t="s">
        <v>372</v>
      </c>
      <c r="D80" s="23" t="s">
        <v>373</v>
      </c>
      <c r="E80" s="24" t="s">
        <v>374</v>
      </c>
      <c r="F80" s="23" t="s">
        <v>375</v>
      </c>
      <c r="G80" s="25" t="s">
        <v>26</v>
      </c>
      <c r="H80" s="26" t="s">
        <v>376</v>
      </c>
      <c r="I80" s="26"/>
      <c r="J80" s="26"/>
      <c r="K80" s="26">
        <v>5</v>
      </c>
      <c r="L80" s="26">
        <f t="shared" si="5"/>
        <v>0</v>
      </c>
      <c r="M80" s="26"/>
      <c r="N80" s="26" t="str">
        <f t="shared" si="6"/>
        <v/>
      </c>
      <c r="O80" s="26" t="str">
        <f t="shared" si="7"/>
        <v/>
      </c>
      <c r="P80" s="26">
        <f t="shared" si="8"/>
        <v>25</v>
      </c>
      <c r="Q80" s="26" t="str">
        <f t="shared" si="9"/>
        <v/>
      </c>
      <c r="R80" s="27" t="s">
        <v>28</v>
      </c>
      <c r="S80" s="27" t="s">
        <v>28</v>
      </c>
      <c r="T80" s="27" t="s">
        <v>28</v>
      </c>
      <c r="U80" s="28" t="s">
        <v>28</v>
      </c>
    </row>
    <row r="81" spans="1:21" ht="60" customHeight="1" x14ac:dyDescent="0.25">
      <c r="A81" s="21">
        <v>80</v>
      </c>
      <c r="B81" s="22" t="s">
        <v>207</v>
      </c>
      <c r="C81" s="29" t="s">
        <v>377</v>
      </c>
      <c r="D81" s="23" t="s">
        <v>378</v>
      </c>
      <c r="E81" s="24" t="s">
        <v>379</v>
      </c>
      <c r="F81" s="23" t="s">
        <v>380</v>
      </c>
      <c r="G81" s="25" t="s">
        <v>26</v>
      </c>
      <c r="H81" s="26" t="s">
        <v>381</v>
      </c>
      <c r="I81" s="26"/>
      <c r="J81" s="26"/>
      <c r="K81" s="26">
        <v>3</v>
      </c>
      <c r="L81" s="26">
        <f t="shared" si="5"/>
        <v>0</v>
      </c>
      <c r="M81" s="26"/>
      <c r="N81" s="26" t="str">
        <f t="shared" si="6"/>
        <v/>
      </c>
      <c r="O81" s="26" t="str">
        <f t="shared" si="7"/>
        <v/>
      </c>
      <c r="P81" s="26">
        <f t="shared" si="8"/>
        <v>15</v>
      </c>
      <c r="Q81" s="26" t="str">
        <f t="shared" si="9"/>
        <v/>
      </c>
      <c r="R81" s="27"/>
      <c r="S81" s="27" t="s">
        <v>28</v>
      </c>
      <c r="T81" s="27" t="s">
        <v>28</v>
      </c>
      <c r="U81" s="28"/>
    </row>
    <row r="82" spans="1:21" ht="105" customHeight="1" x14ac:dyDescent="0.25">
      <c r="A82" s="21">
        <v>81</v>
      </c>
      <c r="B82" s="22" t="s">
        <v>207</v>
      </c>
      <c r="C82" s="6" t="s">
        <v>382</v>
      </c>
      <c r="D82" s="23" t="s">
        <v>383</v>
      </c>
      <c r="E82" s="24" t="s">
        <v>384</v>
      </c>
      <c r="F82" s="23" t="s">
        <v>385</v>
      </c>
      <c r="G82" s="25" t="s">
        <v>26</v>
      </c>
      <c r="H82" s="26" t="s">
        <v>386</v>
      </c>
      <c r="I82" s="26"/>
      <c r="J82" s="26"/>
      <c r="K82" s="26">
        <v>3</v>
      </c>
      <c r="L82" s="26">
        <f t="shared" si="5"/>
        <v>0</v>
      </c>
      <c r="M82" s="26"/>
      <c r="N82" s="26" t="str">
        <f t="shared" si="6"/>
        <v/>
      </c>
      <c r="O82" s="26" t="str">
        <f t="shared" si="7"/>
        <v/>
      </c>
      <c r="P82" s="26">
        <f t="shared" si="8"/>
        <v>15</v>
      </c>
      <c r="Q82" s="26" t="str">
        <f t="shared" si="9"/>
        <v/>
      </c>
      <c r="R82" s="27" t="s">
        <v>28</v>
      </c>
      <c r="S82" s="27" t="s">
        <v>28</v>
      </c>
      <c r="T82" s="27" t="s">
        <v>28</v>
      </c>
      <c r="U82" s="28" t="s">
        <v>28</v>
      </c>
    </row>
    <row r="83" spans="1:21" ht="105" customHeight="1" x14ac:dyDescent="0.25">
      <c r="A83" s="21">
        <v>82</v>
      </c>
      <c r="B83" s="22" t="s">
        <v>207</v>
      </c>
      <c r="C83" s="6" t="s">
        <v>387</v>
      </c>
      <c r="D83" s="23" t="s">
        <v>388</v>
      </c>
      <c r="E83" s="24" t="s">
        <v>389</v>
      </c>
      <c r="F83" s="23" t="s">
        <v>390</v>
      </c>
      <c r="G83" s="25" t="s">
        <v>26</v>
      </c>
      <c r="H83" s="26" t="s">
        <v>391</v>
      </c>
      <c r="I83" s="26"/>
      <c r="J83" s="26"/>
      <c r="K83" s="26">
        <v>2</v>
      </c>
      <c r="L83" s="26">
        <f t="shared" si="5"/>
        <v>0</v>
      </c>
      <c r="M83" s="26"/>
      <c r="N83" s="26" t="str">
        <f t="shared" si="6"/>
        <v/>
      </c>
      <c r="O83" s="26" t="str">
        <f t="shared" si="7"/>
        <v/>
      </c>
      <c r="P83" s="26">
        <f t="shared" si="8"/>
        <v>10</v>
      </c>
      <c r="Q83" s="26" t="str">
        <f t="shared" si="9"/>
        <v/>
      </c>
      <c r="R83" s="27"/>
      <c r="S83" s="27" t="s">
        <v>28</v>
      </c>
      <c r="T83" s="27" t="s">
        <v>28</v>
      </c>
      <c r="U83" s="28"/>
    </row>
    <row r="84" spans="1:21" ht="90" customHeight="1" x14ac:dyDescent="0.25">
      <c r="A84" s="21">
        <v>83</v>
      </c>
      <c r="B84" s="22" t="s">
        <v>207</v>
      </c>
      <c r="C84" s="29" t="s">
        <v>392</v>
      </c>
      <c r="D84" s="23" t="s">
        <v>393</v>
      </c>
      <c r="E84" s="24" t="s">
        <v>394</v>
      </c>
      <c r="F84" s="23" t="s">
        <v>395</v>
      </c>
      <c r="G84" s="25" t="s">
        <v>26</v>
      </c>
      <c r="H84" s="26" t="s">
        <v>396</v>
      </c>
      <c r="I84" s="26"/>
      <c r="J84" s="26"/>
      <c r="K84" s="26">
        <v>4</v>
      </c>
      <c r="L84" s="26">
        <f t="shared" si="5"/>
        <v>0</v>
      </c>
      <c r="M84" s="26"/>
      <c r="N84" s="26" t="str">
        <f t="shared" si="6"/>
        <v/>
      </c>
      <c r="O84" s="26" t="str">
        <f t="shared" si="7"/>
        <v/>
      </c>
      <c r="P84" s="26">
        <f t="shared" si="8"/>
        <v>20</v>
      </c>
      <c r="Q84" s="26" t="str">
        <f t="shared" si="9"/>
        <v/>
      </c>
      <c r="R84" s="27"/>
      <c r="S84" s="27"/>
      <c r="T84" s="27"/>
      <c r="U84" s="28"/>
    </row>
    <row r="85" spans="1:21" ht="90" customHeight="1" x14ac:dyDescent="0.25">
      <c r="A85" s="21">
        <v>84</v>
      </c>
      <c r="B85" s="30" t="s">
        <v>207</v>
      </c>
      <c r="C85" s="29" t="s">
        <v>397</v>
      </c>
      <c r="D85" s="12" t="s">
        <v>398</v>
      </c>
      <c r="E85" s="6" t="s">
        <v>399</v>
      </c>
      <c r="F85" s="12" t="s">
        <v>400</v>
      </c>
      <c r="G85" s="25" t="s">
        <v>26</v>
      </c>
      <c r="H85" s="26" t="s">
        <v>401</v>
      </c>
      <c r="I85" s="26"/>
      <c r="J85" s="26"/>
      <c r="K85" s="26">
        <v>5</v>
      </c>
      <c r="L85" s="26">
        <f t="shared" si="5"/>
        <v>0</v>
      </c>
      <c r="M85" s="26"/>
      <c r="N85" s="26" t="str">
        <f t="shared" si="6"/>
        <v/>
      </c>
      <c r="O85" s="26" t="str">
        <f t="shared" si="7"/>
        <v/>
      </c>
      <c r="P85" s="26">
        <f t="shared" si="8"/>
        <v>25</v>
      </c>
      <c r="Q85" s="26" t="str">
        <f t="shared" si="9"/>
        <v/>
      </c>
      <c r="R85" s="10" t="s">
        <v>28</v>
      </c>
      <c r="S85" s="10" t="s">
        <v>28</v>
      </c>
      <c r="T85" s="10" t="s">
        <v>28</v>
      </c>
      <c r="U85" s="11" t="s">
        <v>28</v>
      </c>
    </row>
    <row r="86" spans="1:21" ht="60" customHeight="1" x14ac:dyDescent="0.25">
      <c r="A86" s="21">
        <v>85</v>
      </c>
      <c r="B86" s="30" t="s">
        <v>207</v>
      </c>
      <c r="C86" s="6" t="s">
        <v>402</v>
      </c>
      <c r="D86" s="12" t="s">
        <v>403</v>
      </c>
      <c r="E86" s="6" t="s">
        <v>404</v>
      </c>
      <c r="F86" s="12" t="s">
        <v>405</v>
      </c>
      <c r="G86" s="25" t="s">
        <v>26</v>
      </c>
      <c r="H86" s="26" t="s">
        <v>406</v>
      </c>
      <c r="I86" s="26"/>
      <c r="J86" s="26"/>
      <c r="K86" s="26">
        <v>5</v>
      </c>
      <c r="L86" s="26">
        <f t="shared" si="5"/>
        <v>0</v>
      </c>
      <c r="M86" s="26"/>
      <c r="N86" s="26" t="str">
        <f t="shared" si="6"/>
        <v/>
      </c>
      <c r="O86" s="26" t="str">
        <f t="shared" si="7"/>
        <v/>
      </c>
      <c r="P86" s="26">
        <f t="shared" si="8"/>
        <v>25</v>
      </c>
      <c r="Q86" s="26" t="str">
        <f t="shared" si="9"/>
        <v/>
      </c>
      <c r="R86" s="10" t="s">
        <v>28</v>
      </c>
      <c r="S86" s="10" t="s">
        <v>28</v>
      </c>
      <c r="T86" s="10" t="s">
        <v>28</v>
      </c>
      <c r="U86" s="11" t="s">
        <v>28</v>
      </c>
    </row>
    <row r="87" spans="1:21" ht="90" customHeight="1" x14ac:dyDescent="0.25">
      <c r="A87" s="21">
        <v>86</v>
      </c>
      <c r="B87" s="30" t="s">
        <v>207</v>
      </c>
      <c r="C87" s="6" t="s">
        <v>407</v>
      </c>
      <c r="D87" s="12" t="s">
        <v>408</v>
      </c>
      <c r="E87" s="6" t="s">
        <v>409</v>
      </c>
      <c r="F87" s="12" t="s">
        <v>410</v>
      </c>
      <c r="G87" s="25" t="s">
        <v>26</v>
      </c>
      <c r="H87" s="26" t="s">
        <v>411</v>
      </c>
      <c r="I87" s="26"/>
      <c r="J87" s="26"/>
      <c r="K87" s="26">
        <v>5</v>
      </c>
      <c r="L87" s="26">
        <f t="shared" si="5"/>
        <v>0</v>
      </c>
      <c r="M87" s="26"/>
      <c r="N87" s="26" t="str">
        <f t="shared" si="6"/>
        <v/>
      </c>
      <c r="O87" s="26" t="str">
        <f t="shared" si="7"/>
        <v/>
      </c>
      <c r="P87" s="26">
        <f t="shared" si="8"/>
        <v>25</v>
      </c>
      <c r="Q87" s="26" t="str">
        <f t="shared" si="9"/>
        <v/>
      </c>
      <c r="R87" s="27" t="s">
        <v>28</v>
      </c>
      <c r="S87" s="27" t="s">
        <v>28</v>
      </c>
      <c r="T87" s="27" t="s">
        <v>28</v>
      </c>
      <c r="U87" s="28" t="s">
        <v>28</v>
      </c>
    </row>
    <row r="88" spans="1:21" ht="72" customHeight="1" x14ac:dyDescent="0.25">
      <c r="A88" s="21">
        <v>87</v>
      </c>
      <c r="B88" s="22" t="s">
        <v>207</v>
      </c>
      <c r="C88" s="31" t="s">
        <v>265</v>
      </c>
      <c r="D88" s="23" t="s">
        <v>412</v>
      </c>
      <c r="E88" s="32" t="s">
        <v>413</v>
      </c>
      <c r="F88" s="23" t="s">
        <v>414</v>
      </c>
      <c r="G88" s="25" t="s">
        <v>26</v>
      </c>
      <c r="H88" s="26" t="s">
        <v>415</v>
      </c>
      <c r="I88" s="26"/>
      <c r="J88" s="26"/>
      <c r="K88" s="26">
        <v>3</v>
      </c>
      <c r="L88" s="26">
        <f t="shared" si="5"/>
        <v>0</v>
      </c>
      <c r="M88" s="26"/>
      <c r="N88" s="26" t="str">
        <f t="shared" si="6"/>
        <v/>
      </c>
      <c r="O88" s="26" t="str">
        <f t="shared" si="7"/>
        <v/>
      </c>
      <c r="P88" s="26">
        <f t="shared" si="8"/>
        <v>15</v>
      </c>
      <c r="Q88" s="26" t="str">
        <f t="shared" si="9"/>
        <v/>
      </c>
      <c r="R88" s="33"/>
      <c r="S88" s="33"/>
      <c r="T88" s="33"/>
      <c r="U88" s="34"/>
    </row>
    <row r="89" spans="1:21" ht="86.45" customHeight="1" x14ac:dyDescent="0.25">
      <c r="A89" s="21">
        <v>88</v>
      </c>
      <c r="B89" s="22" t="s">
        <v>207</v>
      </c>
      <c r="C89" s="31" t="s">
        <v>270</v>
      </c>
      <c r="D89" s="23" t="s">
        <v>416</v>
      </c>
      <c r="E89" s="23" t="s">
        <v>417</v>
      </c>
      <c r="F89" s="23" t="s">
        <v>418</v>
      </c>
      <c r="G89" s="25" t="s">
        <v>26</v>
      </c>
      <c r="H89" s="26" t="s">
        <v>419</v>
      </c>
      <c r="I89" s="26"/>
      <c r="J89" s="26"/>
      <c r="K89" s="26">
        <v>4</v>
      </c>
      <c r="L89" s="26">
        <f t="shared" si="5"/>
        <v>0</v>
      </c>
      <c r="M89" s="26"/>
      <c r="N89" s="26" t="str">
        <f t="shared" si="6"/>
        <v/>
      </c>
      <c r="O89" s="26" t="str">
        <f t="shared" si="7"/>
        <v/>
      </c>
      <c r="P89" s="26">
        <f t="shared" si="8"/>
        <v>20</v>
      </c>
      <c r="Q89" s="26" t="str">
        <f t="shared" si="9"/>
        <v/>
      </c>
      <c r="R89" s="33"/>
      <c r="S89" s="33" t="s">
        <v>28</v>
      </c>
      <c r="T89" s="33" t="s">
        <v>28</v>
      </c>
      <c r="U89" s="34"/>
    </row>
    <row r="90" spans="1:21" ht="86.45" customHeight="1" x14ac:dyDescent="0.25">
      <c r="A90" s="21">
        <v>89</v>
      </c>
      <c r="B90" s="22" t="s">
        <v>207</v>
      </c>
      <c r="C90" s="31" t="s">
        <v>275</v>
      </c>
      <c r="D90" s="23" t="s">
        <v>420</v>
      </c>
      <c r="E90" s="23" t="s">
        <v>421</v>
      </c>
      <c r="F90" s="23" t="s">
        <v>422</v>
      </c>
      <c r="G90" s="25" t="s">
        <v>26</v>
      </c>
      <c r="H90" s="26" t="s">
        <v>423</v>
      </c>
      <c r="I90" s="26"/>
      <c r="J90" s="26"/>
      <c r="K90" s="26">
        <v>4</v>
      </c>
      <c r="L90" s="26">
        <f t="shared" si="5"/>
        <v>0</v>
      </c>
      <c r="M90" s="26"/>
      <c r="N90" s="26" t="str">
        <f t="shared" si="6"/>
        <v/>
      </c>
      <c r="O90" s="26" t="str">
        <f t="shared" si="7"/>
        <v/>
      </c>
      <c r="P90" s="26">
        <f t="shared" si="8"/>
        <v>20</v>
      </c>
      <c r="Q90" s="26" t="str">
        <f t="shared" si="9"/>
        <v/>
      </c>
      <c r="R90" s="33"/>
      <c r="S90" s="33" t="s">
        <v>28</v>
      </c>
      <c r="T90" s="33" t="s">
        <v>28</v>
      </c>
      <c r="U90" s="34"/>
    </row>
    <row r="91" spans="1:21" ht="72" customHeight="1" x14ac:dyDescent="0.25">
      <c r="A91" s="21">
        <v>90</v>
      </c>
      <c r="B91" s="22" t="s">
        <v>207</v>
      </c>
      <c r="C91" s="31" t="s">
        <v>424</v>
      </c>
      <c r="D91" s="23" t="s">
        <v>425</v>
      </c>
      <c r="E91" s="32" t="s">
        <v>426</v>
      </c>
      <c r="F91" s="23" t="s">
        <v>427</v>
      </c>
      <c r="G91" s="25" t="s">
        <v>26</v>
      </c>
      <c r="H91" s="26" t="s">
        <v>428</v>
      </c>
      <c r="I91" s="26"/>
      <c r="J91" s="26"/>
      <c r="K91" s="26">
        <v>3</v>
      </c>
      <c r="L91" s="26">
        <f t="shared" si="5"/>
        <v>0</v>
      </c>
      <c r="M91" s="26"/>
      <c r="N91" s="26" t="str">
        <f t="shared" si="6"/>
        <v/>
      </c>
      <c r="O91" s="26" t="str">
        <f t="shared" si="7"/>
        <v/>
      </c>
      <c r="P91" s="26">
        <f t="shared" si="8"/>
        <v>15</v>
      </c>
      <c r="Q91" s="26" t="str">
        <f t="shared" si="9"/>
        <v/>
      </c>
      <c r="R91" s="33"/>
      <c r="S91" s="33"/>
      <c r="T91" s="33" t="s">
        <v>28</v>
      </c>
      <c r="U91" s="34"/>
    </row>
    <row r="92" spans="1:21" ht="86.45" customHeight="1" x14ac:dyDescent="0.25">
      <c r="A92" s="21">
        <v>91</v>
      </c>
      <c r="B92" s="35" t="s">
        <v>207</v>
      </c>
      <c r="C92" s="31" t="s">
        <v>429</v>
      </c>
      <c r="D92" s="36" t="s">
        <v>430</v>
      </c>
      <c r="E92" s="37" t="s">
        <v>431</v>
      </c>
      <c r="F92" s="36" t="s">
        <v>432</v>
      </c>
      <c r="G92" s="25" t="s">
        <v>26</v>
      </c>
      <c r="H92" s="26" t="s">
        <v>433</v>
      </c>
      <c r="I92" s="26"/>
      <c r="J92" s="26"/>
      <c r="K92" s="26">
        <v>3</v>
      </c>
      <c r="L92" s="26">
        <f t="shared" si="5"/>
        <v>0</v>
      </c>
      <c r="M92" s="26"/>
      <c r="N92" s="26" t="str">
        <f t="shared" si="6"/>
        <v/>
      </c>
      <c r="O92" s="26" t="str">
        <f t="shared" si="7"/>
        <v/>
      </c>
      <c r="P92" s="26">
        <f t="shared" si="8"/>
        <v>15</v>
      </c>
      <c r="Q92" s="26" t="str">
        <f t="shared" si="9"/>
        <v/>
      </c>
      <c r="R92" s="38" t="s">
        <v>28</v>
      </c>
      <c r="S92" s="38" t="s">
        <v>28</v>
      </c>
      <c r="T92" s="38" t="s">
        <v>28</v>
      </c>
      <c r="U92" s="39" t="s">
        <v>28</v>
      </c>
    </row>
    <row r="93" spans="1:21" ht="86.45" customHeight="1" x14ac:dyDescent="0.25">
      <c r="A93" s="21">
        <v>92</v>
      </c>
      <c r="B93" s="2" t="s">
        <v>207</v>
      </c>
      <c r="C93" s="40" t="s">
        <v>434</v>
      </c>
      <c r="D93" s="3" t="s">
        <v>435</v>
      </c>
      <c r="E93" s="41" t="s">
        <v>436</v>
      </c>
      <c r="F93" s="3" t="s">
        <v>437</v>
      </c>
      <c r="G93" s="25" t="s">
        <v>26</v>
      </c>
      <c r="H93" s="26" t="s">
        <v>438</v>
      </c>
      <c r="I93" s="26"/>
      <c r="J93" s="26"/>
      <c r="K93" s="26">
        <v>3</v>
      </c>
      <c r="L93" s="26">
        <f t="shared" si="5"/>
        <v>0</v>
      </c>
      <c r="M93" s="26"/>
      <c r="N93" s="26" t="str">
        <f t="shared" si="6"/>
        <v/>
      </c>
      <c r="O93" s="26" t="str">
        <f t="shared" si="7"/>
        <v/>
      </c>
      <c r="P93" s="26">
        <f t="shared" si="8"/>
        <v>15</v>
      </c>
      <c r="Q93" s="26" t="str">
        <f t="shared" si="9"/>
        <v/>
      </c>
      <c r="R93" s="42"/>
      <c r="S93" s="42" t="s">
        <v>28</v>
      </c>
      <c r="T93" s="42" t="s">
        <v>28</v>
      </c>
      <c r="U93" s="42"/>
    </row>
    <row r="94" spans="1:21" ht="43.15" customHeight="1" x14ac:dyDescent="0.25">
      <c r="A94" s="21">
        <v>93</v>
      </c>
      <c r="B94" s="2" t="s">
        <v>207</v>
      </c>
      <c r="C94" s="31" t="s">
        <v>439</v>
      </c>
      <c r="D94" s="3" t="s">
        <v>440</v>
      </c>
      <c r="E94" s="32" t="s">
        <v>441</v>
      </c>
      <c r="F94" s="3" t="s">
        <v>442</v>
      </c>
      <c r="G94" s="25" t="s">
        <v>26</v>
      </c>
      <c r="H94" s="26" t="s">
        <v>443</v>
      </c>
      <c r="I94" s="26"/>
      <c r="J94" s="26"/>
      <c r="K94" s="26">
        <v>3</v>
      </c>
      <c r="L94" s="26">
        <f t="shared" si="5"/>
        <v>0</v>
      </c>
      <c r="M94" s="26"/>
      <c r="N94" s="26" t="str">
        <f t="shared" si="6"/>
        <v/>
      </c>
      <c r="O94" s="26" t="str">
        <f t="shared" si="7"/>
        <v/>
      </c>
      <c r="P94" s="26">
        <f t="shared" si="8"/>
        <v>15</v>
      </c>
      <c r="Q94" s="26" t="str">
        <f t="shared" si="9"/>
        <v/>
      </c>
      <c r="R94" s="42"/>
      <c r="S94" s="42"/>
      <c r="T94" s="42"/>
      <c r="U94" s="42"/>
    </row>
    <row r="95" spans="1:21" ht="75" customHeight="1" x14ac:dyDescent="0.25">
      <c r="A95" s="21">
        <v>94</v>
      </c>
      <c r="B95" s="22" t="s">
        <v>207</v>
      </c>
      <c r="C95" s="31" t="s">
        <v>444</v>
      </c>
      <c r="D95" s="23" t="s">
        <v>445</v>
      </c>
      <c r="E95" s="32" t="s">
        <v>446</v>
      </c>
      <c r="F95" s="23" t="s">
        <v>447</v>
      </c>
      <c r="G95" s="25" t="s">
        <v>26</v>
      </c>
      <c r="H95" s="26" t="s">
        <v>448</v>
      </c>
      <c r="I95" s="26"/>
      <c r="J95" s="26"/>
      <c r="K95" s="26">
        <v>2</v>
      </c>
      <c r="L95" s="26">
        <f t="shared" si="5"/>
        <v>0</v>
      </c>
      <c r="M95" s="26"/>
      <c r="N95" s="26" t="str">
        <f t="shared" si="6"/>
        <v/>
      </c>
      <c r="O95" s="26" t="str">
        <f t="shared" si="7"/>
        <v/>
      </c>
      <c r="P95" s="26">
        <f t="shared" si="8"/>
        <v>10</v>
      </c>
      <c r="Q95" s="26" t="str">
        <f t="shared" si="9"/>
        <v/>
      </c>
      <c r="R95" s="33"/>
      <c r="S95" s="33" t="s">
        <v>28</v>
      </c>
      <c r="T95" s="33" t="s">
        <v>28</v>
      </c>
      <c r="U95" s="34"/>
    </row>
    <row r="96" spans="1:21" ht="60" customHeight="1" x14ac:dyDescent="0.25">
      <c r="A96" s="21">
        <v>95</v>
      </c>
      <c r="B96" s="22" t="s">
        <v>207</v>
      </c>
      <c r="C96" s="31" t="s">
        <v>449</v>
      </c>
      <c r="D96" s="23" t="s">
        <v>450</v>
      </c>
      <c r="E96" s="32" t="s">
        <v>451</v>
      </c>
      <c r="F96" s="23" t="s">
        <v>452</v>
      </c>
      <c r="G96" s="25" t="s">
        <v>26</v>
      </c>
      <c r="H96" s="26" t="s">
        <v>453</v>
      </c>
      <c r="I96" s="26"/>
      <c r="J96" s="26"/>
      <c r="K96" s="26">
        <v>3</v>
      </c>
      <c r="L96" s="26">
        <f t="shared" si="5"/>
        <v>0</v>
      </c>
      <c r="M96" s="26"/>
      <c r="N96" s="26" t="str">
        <f t="shared" si="6"/>
        <v/>
      </c>
      <c r="O96" s="26" t="str">
        <f t="shared" si="7"/>
        <v/>
      </c>
      <c r="P96" s="26">
        <f t="shared" si="8"/>
        <v>15</v>
      </c>
      <c r="Q96" s="26" t="str">
        <f t="shared" si="9"/>
        <v/>
      </c>
      <c r="R96" s="33"/>
      <c r="S96" s="33" t="s">
        <v>28</v>
      </c>
      <c r="T96" s="33" t="s">
        <v>28</v>
      </c>
      <c r="U96" s="34"/>
    </row>
    <row r="97" spans="1:21" ht="45" customHeight="1" x14ac:dyDescent="0.25">
      <c r="A97" s="21">
        <v>96</v>
      </c>
      <c r="B97" s="22" t="s">
        <v>207</v>
      </c>
      <c r="C97" s="31" t="s">
        <v>454</v>
      </c>
      <c r="D97" s="23" t="s">
        <v>455</v>
      </c>
      <c r="E97" s="32" t="s">
        <v>456</v>
      </c>
      <c r="F97" s="23" t="s">
        <v>457</v>
      </c>
      <c r="G97" s="25" t="s">
        <v>26</v>
      </c>
      <c r="H97" s="26" t="s">
        <v>458</v>
      </c>
      <c r="I97" s="26"/>
      <c r="J97" s="26"/>
      <c r="K97" s="26">
        <v>4</v>
      </c>
      <c r="L97" s="26">
        <f t="shared" si="5"/>
        <v>0</v>
      </c>
      <c r="M97" s="26"/>
      <c r="N97" s="26" t="str">
        <f t="shared" si="6"/>
        <v/>
      </c>
      <c r="O97" s="26" t="str">
        <f t="shared" si="7"/>
        <v/>
      </c>
      <c r="P97" s="26">
        <f t="shared" si="8"/>
        <v>20</v>
      </c>
      <c r="Q97" s="26" t="str">
        <f t="shared" si="9"/>
        <v/>
      </c>
      <c r="R97" s="33" t="s">
        <v>28</v>
      </c>
      <c r="S97" s="33" t="s">
        <v>28</v>
      </c>
      <c r="T97" s="33" t="s">
        <v>28</v>
      </c>
      <c r="U97" s="34" t="s">
        <v>28</v>
      </c>
    </row>
    <row r="98" spans="1:21" ht="60" customHeight="1" x14ac:dyDescent="0.25">
      <c r="A98" s="21">
        <v>97</v>
      </c>
      <c r="B98" s="22" t="s">
        <v>207</v>
      </c>
      <c r="C98" s="31" t="s">
        <v>459</v>
      </c>
      <c r="D98" s="23" t="s">
        <v>460</v>
      </c>
      <c r="E98" s="32" t="s">
        <v>461</v>
      </c>
      <c r="F98" s="23" t="s">
        <v>462</v>
      </c>
      <c r="G98" s="25" t="s">
        <v>26</v>
      </c>
      <c r="H98" s="26" t="s">
        <v>463</v>
      </c>
      <c r="I98" s="26"/>
      <c r="J98" s="26"/>
      <c r="K98" s="26">
        <v>3</v>
      </c>
      <c r="L98" s="26">
        <f t="shared" si="5"/>
        <v>0</v>
      </c>
      <c r="M98" s="26"/>
      <c r="N98" s="26" t="str">
        <f t="shared" si="6"/>
        <v/>
      </c>
      <c r="O98" s="26" t="str">
        <f t="shared" si="7"/>
        <v/>
      </c>
      <c r="P98" s="26">
        <f t="shared" si="8"/>
        <v>15</v>
      </c>
      <c r="Q98" s="26" t="str">
        <f t="shared" si="9"/>
        <v/>
      </c>
      <c r="R98" s="33"/>
      <c r="S98" s="33"/>
      <c r="T98" s="33"/>
      <c r="U98" s="34"/>
    </row>
    <row r="99" spans="1:21" ht="45" customHeight="1" x14ac:dyDescent="0.25">
      <c r="A99" s="21">
        <v>98</v>
      </c>
      <c r="B99" s="22" t="s">
        <v>207</v>
      </c>
      <c r="C99" s="31" t="s">
        <v>464</v>
      </c>
      <c r="D99" s="23" t="s">
        <v>465</v>
      </c>
      <c r="E99" s="32" t="s">
        <v>466</v>
      </c>
      <c r="F99" s="23" t="s">
        <v>467</v>
      </c>
      <c r="G99" s="25" t="s">
        <v>26</v>
      </c>
      <c r="H99" s="26" t="s">
        <v>468</v>
      </c>
      <c r="I99" s="26"/>
      <c r="J99" s="26"/>
      <c r="K99" s="26">
        <v>2</v>
      </c>
      <c r="L99" s="26">
        <f t="shared" si="5"/>
        <v>0</v>
      </c>
      <c r="M99" s="26"/>
      <c r="N99" s="26" t="str">
        <f t="shared" si="6"/>
        <v/>
      </c>
      <c r="O99" s="26" t="str">
        <f t="shared" si="7"/>
        <v/>
      </c>
      <c r="P99" s="26">
        <f t="shared" si="8"/>
        <v>10</v>
      </c>
      <c r="Q99" s="26" t="str">
        <f t="shared" si="9"/>
        <v/>
      </c>
      <c r="R99" s="33"/>
      <c r="S99" s="33"/>
      <c r="T99" s="33"/>
      <c r="U99" s="34"/>
    </row>
    <row r="100" spans="1:21" ht="60" customHeight="1" x14ac:dyDescent="0.25">
      <c r="A100" s="21">
        <v>99</v>
      </c>
      <c r="B100" s="22" t="s">
        <v>207</v>
      </c>
      <c r="C100" s="31" t="s">
        <v>469</v>
      </c>
      <c r="D100" s="23" t="s">
        <v>470</v>
      </c>
      <c r="E100" s="32" t="s">
        <v>471</v>
      </c>
      <c r="F100" s="23" t="s">
        <v>472</v>
      </c>
      <c r="G100" s="25" t="s">
        <v>26</v>
      </c>
      <c r="H100" s="26" t="s">
        <v>473</v>
      </c>
      <c r="I100" s="26"/>
      <c r="J100" s="26"/>
      <c r="K100" s="26">
        <v>4</v>
      </c>
      <c r="L100" s="26">
        <f t="shared" si="5"/>
        <v>0</v>
      </c>
      <c r="M100" s="26"/>
      <c r="N100" s="26" t="str">
        <f t="shared" si="6"/>
        <v/>
      </c>
      <c r="O100" s="26" t="str">
        <f t="shared" si="7"/>
        <v/>
      </c>
      <c r="P100" s="26">
        <f t="shared" si="8"/>
        <v>20</v>
      </c>
      <c r="Q100" s="26" t="str">
        <f t="shared" si="9"/>
        <v/>
      </c>
      <c r="R100" s="33" t="s">
        <v>28</v>
      </c>
      <c r="S100" s="33" t="s">
        <v>28</v>
      </c>
      <c r="T100" s="33"/>
      <c r="U100" s="34" t="s">
        <v>28</v>
      </c>
    </row>
    <row r="101" spans="1:21" ht="60" customHeight="1" x14ac:dyDescent="0.25">
      <c r="A101" s="21">
        <v>100</v>
      </c>
      <c r="B101" s="22" t="s">
        <v>207</v>
      </c>
      <c r="C101" s="31" t="s">
        <v>387</v>
      </c>
      <c r="D101" s="23" t="s">
        <v>388</v>
      </c>
      <c r="E101" s="32" t="s">
        <v>389</v>
      </c>
      <c r="F101" s="23" t="s">
        <v>390</v>
      </c>
      <c r="G101" s="25" t="s">
        <v>26</v>
      </c>
      <c r="H101" s="26" t="s">
        <v>474</v>
      </c>
      <c r="I101" s="26"/>
      <c r="J101" s="26"/>
      <c r="K101" s="26">
        <v>2</v>
      </c>
      <c r="L101" s="26">
        <f t="shared" si="5"/>
        <v>0</v>
      </c>
      <c r="M101" s="26"/>
      <c r="N101" s="26" t="str">
        <f t="shared" si="6"/>
        <v/>
      </c>
      <c r="O101" s="26" t="str">
        <f t="shared" si="7"/>
        <v/>
      </c>
      <c r="P101" s="26">
        <f t="shared" si="8"/>
        <v>10</v>
      </c>
      <c r="Q101" s="26" t="str">
        <f t="shared" si="9"/>
        <v/>
      </c>
      <c r="R101" s="33"/>
      <c r="S101" s="33" t="s">
        <v>28</v>
      </c>
      <c r="T101" s="33" t="s">
        <v>28</v>
      </c>
      <c r="U101" s="34"/>
    </row>
    <row r="102" spans="1:21" ht="75" customHeight="1" x14ac:dyDescent="0.25">
      <c r="A102" s="21">
        <v>101</v>
      </c>
      <c r="B102" s="22" t="s">
        <v>207</v>
      </c>
      <c r="C102" s="43" t="s">
        <v>392</v>
      </c>
      <c r="D102" s="23" t="s">
        <v>393</v>
      </c>
      <c r="E102" s="32" t="s">
        <v>394</v>
      </c>
      <c r="F102" s="23" t="s">
        <v>395</v>
      </c>
      <c r="G102" s="25" t="s">
        <v>26</v>
      </c>
      <c r="H102" s="26" t="s">
        <v>475</v>
      </c>
      <c r="I102" s="26"/>
      <c r="J102" s="26"/>
      <c r="K102" s="26">
        <v>4</v>
      </c>
      <c r="L102" s="26">
        <f t="shared" si="5"/>
        <v>0</v>
      </c>
      <c r="M102" s="26"/>
      <c r="N102" s="26" t="str">
        <f t="shared" si="6"/>
        <v/>
      </c>
      <c r="O102" s="26" t="str">
        <f t="shared" si="7"/>
        <v/>
      </c>
      <c r="P102" s="26">
        <f t="shared" si="8"/>
        <v>20</v>
      </c>
      <c r="Q102" s="26" t="str">
        <f t="shared" si="9"/>
        <v/>
      </c>
      <c r="R102" s="33"/>
      <c r="S102" s="33"/>
      <c r="T102" s="33"/>
      <c r="U102" s="34"/>
    </row>
    <row r="103" spans="1:21" ht="60" customHeight="1" x14ac:dyDescent="0.25">
      <c r="A103" s="21">
        <v>102</v>
      </c>
      <c r="B103" s="22" t="s">
        <v>476</v>
      </c>
      <c r="C103" s="29" t="s">
        <v>477</v>
      </c>
      <c r="D103" s="23" t="s">
        <v>478</v>
      </c>
      <c r="E103" s="24" t="s">
        <v>479</v>
      </c>
      <c r="F103" s="23" t="s">
        <v>480</v>
      </c>
      <c r="G103" s="25" t="s">
        <v>26</v>
      </c>
      <c r="H103" s="26" t="s">
        <v>481</v>
      </c>
      <c r="I103" s="26"/>
      <c r="J103" s="26"/>
      <c r="K103" s="26">
        <v>5</v>
      </c>
      <c r="L103" s="26">
        <f t="shared" si="5"/>
        <v>0</v>
      </c>
      <c r="M103" s="26"/>
      <c r="N103" s="26" t="str">
        <f t="shared" si="6"/>
        <v/>
      </c>
      <c r="O103" s="26" t="str">
        <f t="shared" si="7"/>
        <v/>
      </c>
      <c r="P103" s="26">
        <f t="shared" si="8"/>
        <v>25</v>
      </c>
      <c r="Q103" s="26" t="str">
        <f t="shared" si="9"/>
        <v/>
      </c>
      <c r="R103" s="27" t="s">
        <v>28</v>
      </c>
      <c r="S103" s="27" t="s">
        <v>28</v>
      </c>
      <c r="T103" s="27" t="s">
        <v>28</v>
      </c>
      <c r="U103" s="28" t="s">
        <v>28</v>
      </c>
    </row>
    <row r="104" spans="1:21" ht="45" customHeight="1" x14ac:dyDescent="0.25">
      <c r="A104" s="21">
        <v>103</v>
      </c>
      <c r="B104" s="22" t="s">
        <v>476</v>
      </c>
      <c r="C104" s="29" t="s">
        <v>482</v>
      </c>
      <c r="D104" s="23" t="s">
        <v>30</v>
      </c>
      <c r="E104" s="24" t="s">
        <v>31</v>
      </c>
      <c r="F104" s="23" t="s">
        <v>32</v>
      </c>
      <c r="G104" s="25" t="s">
        <v>26</v>
      </c>
      <c r="H104" s="26" t="s">
        <v>483</v>
      </c>
      <c r="I104" s="26"/>
      <c r="J104" s="26"/>
      <c r="K104" s="26">
        <v>5</v>
      </c>
      <c r="L104" s="26">
        <f t="shared" si="5"/>
        <v>0</v>
      </c>
      <c r="M104" s="26"/>
      <c r="N104" s="26" t="str">
        <f t="shared" si="6"/>
        <v/>
      </c>
      <c r="O104" s="26" t="str">
        <f t="shared" si="7"/>
        <v/>
      </c>
      <c r="P104" s="26">
        <f t="shared" si="8"/>
        <v>25</v>
      </c>
      <c r="Q104" s="26" t="str">
        <f t="shared" si="9"/>
        <v/>
      </c>
      <c r="R104" s="27" t="s">
        <v>28</v>
      </c>
      <c r="S104" s="27" t="s">
        <v>28</v>
      </c>
      <c r="T104" s="27" t="s">
        <v>28</v>
      </c>
      <c r="U104" s="28" t="s">
        <v>28</v>
      </c>
    </row>
    <row r="105" spans="1:21" ht="90" customHeight="1" x14ac:dyDescent="0.25">
      <c r="A105" s="21">
        <v>104</v>
      </c>
      <c r="B105" s="22" t="s">
        <v>476</v>
      </c>
      <c r="C105" s="6" t="s">
        <v>484</v>
      </c>
      <c r="D105" s="23" t="s">
        <v>485</v>
      </c>
      <c r="E105" s="24" t="s">
        <v>486</v>
      </c>
      <c r="F105" s="23" t="s">
        <v>487</v>
      </c>
      <c r="G105" s="25" t="s">
        <v>26</v>
      </c>
      <c r="H105" s="26" t="s">
        <v>488</v>
      </c>
      <c r="I105" s="26"/>
      <c r="J105" s="26"/>
      <c r="K105" s="26">
        <v>5</v>
      </c>
      <c r="L105" s="26">
        <f t="shared" si="5"/>
        <v>0</v>
      </c>
      <c r="M105" s="26"/>
      <c r="N105" s="26" t="str">
        <f t="shared" si="6"/>
        <v/>
      </c>
      <c r="O105" s="26" t="str">
        <f t="shared" si="7"/>
        <v/>
      </c>
      <c r="P105" s="26">
        <f t="shared" si="8"/>
        <v>25</v>
      </c>
      <c r="Q105" s="26" t="str">
        <f t="shared" si="9"/>
        <v/>
      </c>
      <c r="R105" s="27" t="s">
        <v>28</v>
      </c>
      <c r="S105" s="27" t="s">
        <v>28</v>
      </c>
      <c r="T105" s="27" t="s">
        <v>28</v>
      </c>
      <c r="U105" s="28" t="s">
        <v>28</v>
      </c>
    </row>
    <row r="106" spans="1:21" ht="90" customHeight="1" x14ac:dyDescent="0.25">
      <c r="A106" s="21">
        <v>105</v>
      </c>
      <c r="B106" s="22" t="s">
        <v>476</v>
      </c>
      <c r="C106" s="6" t="s">
        <v>489</v>
      </c>
      <c r="D106" s="23" t="s">
        <v>490</v>
      </c>
      <c r="E106" s="24" t="s">
        <v>491</v>
      </c>
      <c r="F106" s="23" t="s">
        <v>492</v>
      </c>
      <c r="G106" s="25" t="s">
        <v>26</v>
      </c>
      <c r="H106" s="26" t="s">
        <v>493</v>
      </c>
      <c r="I106" s="26"/>
      <c r="J106" s="26"/>
      <c r="K106" s="26">
        <v>5</v>
      </c>
      <c r="L106" s="26">
        <f t="shared" si="5"/>
        <v>0</v>
      </c>
      <c r="M106" s="26"/>
      <c r="N106" s="26" t="str">
        <f t="shared" si="6"/>
        <v/>
      </c>
      <c r="O106" s="26" t="str">
        <f t="shared" si="7"/>
        <v/>
      </c>
      <c r="P106" s="26">
        <f t="shared" si="8"/>
        <v>25</v>
      </c>
      <c r="Q106" s="26" t="str">
        <f t="shared" si="9"/>
        <v/>
      </c>
      <c r="R106" s="27" t="s">
        <v>28</v>
      </c>
      <c r="S106" s="27" t="s">
        <v>28</v>
      </c>
      <c r="T106" s="27"/>
      <c r="U106" s="28"/>
    </row>
    <row r="107" spans="1:21" ht="75" customHeight="1" x14ac:dyDescent="0.25">
      <c r="A107" s="21">
        <v>106</v>
      </c>
      <c r="B107" s="22" t="s">
        <v>476</v>
      </c>
      <c r="C107" s="29" t="s">
        <v>494</v>
      </c>
      <c r="D107" s="23" t="s">
        <v>48</v>
      </c>
      <c r="E107" s="24" t="s">
        <v>49</v>
      </c>
      <c r="F107" s="23" t="s">
        <v>50</v>
      </c>
      <c r="G107" s="25" t="s">
        <v>26</v>
      </c>
      <c r="H107" s="26" t="s">
        <v>495</v>
      </c>
      <c r="I107" s="26"/>
      <c r="J107" s="26"/>
      <c r="K107" s="26">
        <v>5</v>
      </c>
      <c r="L107" s="26">
        <f t="shared" si="5"/>
        <v>0</v>
      </c>
      <c r="M107" s="26"/>
      <c r="N107" s="26" t="str">
        <f t="shared" si="6"/>
        <v/>
      </c>
      <c r="O107" s="26" t="str">
        <f t="shared" si="7"/>
        <v/>
      </c>
      <c r="P107" s="26">
        <f t="shared" si="8"/>
        <v>25</v>
      </c>
      <c r="Q107" s="26" t="str">
        <f t="shared" si="9"/>
        <v/>
      </c>
      <c r="R107" s="27" t="s">
        <v>28</v>
      </c>
      <c r="S107" s="27" t="s">
        <v>28</v>
      </c>
      <c r="T107" s="27" t="s">
        <v>28</v>
      </c>
      <c r="U107" s="28" t="s">
        <v>28</v>
      </c>
    </row>
    <row r="108" spans="1:21" ht="75" customHeight="1" x14ac:dyDescent="0.25">
      <c r="A108" s="21">
        <v>107</v>
      </c>
      <c r="B108" s="22" t="s">
        <v>476</v>
      </c>
      <c r="C108" s="29" t="s">
        <v>496</v>
      </c>
      <c r="D108" s="23" t="s">
        <v>497</v>
      </c>
      <c r="E108" s="24" t="s">
        <v>498</v>
      </c>
      <c r="F108" s="23" t="s">
        <v>499</v>
      </c>
      <c r="G108" s="25" t="s">
        <v>26</v>
      </c>
      <c r="H108" s="26" t="s">
        <v>500</v>
      </c>
      <c r="I108" s="26"/>
      <c r="J108" s="26"/>
      <c r="K108" s="26">
        <v>3</v>
      </c>
      <c r="L108" s="26">
        <f t="shared" si="5"/>
        <v>0</v>
      </c>
      <c r="M108" s="26"/>
      <c r="N108" s="26" t="str">
        <f t="shared" si="6"/>
        <v/>
      </c>
      <c r="O108" s="26" t="str">
        <f t="shared" si="7"/>
        <v/>
      </c>
      <c r="P108" s="26">
        <f t="shared" si="8"/>
        <v>15</v>
      </c>
      <c r="Q108" s="26" t="str">
        <f t="shared" si="9"/>
        <v/>
      </c>
      <c r="R108" s="27" t="s">
        <v>28</v>
      </c>
      <c r="S108" s="27" t="s">
        <v>28</v>
      </c>
      <c r="T108" s="27"/>
      <c r="U108" s="28" t="s">
        <v>28</v>
      </c>
    </row>
    <row r="109" spans="1:21" ht="75" customHeight="1" x14ac:dyDescent="0.25">
      <c r="A109" s="21">
        <v>108</v>
      </c>
      <c r="B109" s="22" t="s">
        <v>476</v>
      </c>
      <c r="C109" s="6" t="s">
        <v>501</v>
      </c>
      <c r="D109" s="23" t="s">
        <v>502</v>
      </c>
      <c r="E109" s="24" t="s">
        <v>503</v>
      </c>
      <c r="F109" s="23" t="s">
        <v>504</v>
      </c>
      <c r="G109" s="25" t="s">
        <v>26</v>
      </c>
      <c r="H109" s="26" t="s">
        <v>505</v>
      </c>
      <c r="I109" s="26"/>
      <c r="J109" s="26"/>
      <c r="K109" s="26">
        <v>5</v>
      </c>
      <c r="L109" s="26">
        <f t="shared" si="5"/>
        <v>0</v>
      </c>
      <c r="M109" s="26"/>
      <c r="N109" s="26" t="str">
        <f t="shared" si="6"/>
        <v/>
      </c>
      <c r="O109" s="26" t="str">
        <f t="shared" si="7"/>
        <v/>
      </c>
      <c r="P109" s="26">
        <f t="shared" si="8"/>
        <v>25</v>
      </c>
      <c r="Q109" s="26" t="str">
        <f t="shared" si="9"/>
        <v/>
      </c>
      <c r="R109" s="27" t="s">
        <v>28</v>
      </c>
      <c r="S109" s="27" t="s">
        <v>28</v>
      </c>
      <c r="T109" s="27"/>
      <c r="U109" s="28"/>
    </row>
    <row r="110" spans="1:21" ht="90" customHeight="1" x14ac:dyDescent="0.25">
      <c r="A110" s="21">
        <v>109</v>
      </c>
      <c r="B110" s="22" t="s">
        <v>476</v>
      </c>
      <c r="C110" s="6" t="s">
        <v>506</v>
      </c>
      <c r="D110" s="23" t="s">
        <v>507</v>
      </c>
      <c r="E110" s="24" t="s">
        <v>508</v>
      </c>
      <c r="F110" s="23" t="s">
        <v>509</v>
      </c>
      <c r="G110" s="25" t="s">
        <v>26</v>
      </c>
      <c r="H110" s="26" t="s">
        <v>510</v>
      </c>
      <c r="I110" s="26"/>
      <c r="J110" s="26"/>
      <c r="K110" s="26">
        <v>5</v>
      </c>
      <c r="L110" s="26">
        <f t="shared" si="5"/>
        <v>0</v>
      </c>
      <c r="M110" s="26"/>
      <c r="N110" s="26" t="str">
        <f t="shared" si="6"/>
        <v/>
      </c>
      <c r="O110" s="26" t="str">
        <f t="shared" si="7"/>
        <v/>
      </c>
      <c r="P110" s="26">
        <f t="shared" si="8"/>
        <v>25</v>
      </c>
      <c r="Q110" s="26" t="str">
        <f t="shared" si="9"/>
        <v/>
      </c>
      <c r="R110" s="27" t="s">
        <v>28</v>
      </c>
      <c r="S110" s="27" t="s">
        <v>28</v>
      </c>
      <c r="T110" s="27" t="s">
        <v>28</v>
      </c>
      <c r="U110" s="28" t="s">
        <v>28</v>
      </c>
    </row>
    <row r="111" spans="1:21" ht="28.9" customHeight="1" x14ac:dyDescent="0.25">
      <c r="A111" s="21">
        <v>110</v>
      </c>
      <c r="B111" s="22" t="s">
        <v>476</v>
      </c>
      <c r="C111" s="6" t="s">
        <v>511</v>
      </c>
      <c r="D111" s="23" t="s">
        <v>512</v>
      </c>
      <c r="E111" s="24" t="s">
        <v>513</v>
      </c>
      <c r="F111" s="23" t="s">
        <v>514</v>
      </c>
      <c r="G111" s="25" t="s">
        <v>26</v>
      </c>
      <c r="H111" s="26" t="s">
        <v>515</v>
      </c>
      <c r="I111" s="26"/>
      <c r="J111" s="26"/>
      <c r="K111" s="26">
        <v>5</v>
      </c>
      <c r="L111" s="26">
        <f t="shared" si="5"/>
        <v>0</v>
      </c>
      <c r="M111" s="26"/>
      <c r="N111" s="26" t="str">
        <f t="shared" si="6"/>
        <v/>
      </c>
      <c r="O111" s="26" t="str">
        <f t="shared" si="7"/>
        <v/>
      </c>
      <c r="P111" s="26">
        <f t="shared" si="8"/>
        <v>25</v>
      </c>
      <c r="Q111" s="26" t="str">
        <f t="shared" si="9"/>
        <v/>
      </c>
      <c r="R111" s="27" t="s">
        <v>28</v>
      </c>
      <c r="S111" s="27" t="s">
        <v>28</v>
      </c>
      <c r="T111" s="27" t="s">
        <v>28</v>
      </c>
      <c r="U111" s="28" t="s">
        <v>28</v>
      </c>
    </row>
    <row r="112" spans="1:21" ht="72" customHeight="1" x14ac:dyDescent="0.25">
      <c r="A112" s="21">
        <v>111</v>
      </c>
      <c r="B112" s="22" t="s">
        <v>476</v>
      </c>
      <c r="C112" s="6" t="s">
        <v>516</v>
      </c>
      <c r="D112" s="23" t="s">
        <v>517</v>
      </c>
      <c r="E112" s="24" t="s">
        <v>518</v>
      </c>
      <c r="F112" s="23" t="s">
        <v>519</v>
      </c>
      <c r="G112" s="25" t="s">
        <v>26</v>
      </c>
      <c r="H112" s="26" t="s">
        <v>520</v>
      </c>
      <c r="I112" s="26"/>
      <c r="J112" s="26"/>
      <c r="K112" s="26">
        <v>4</v>
      </c>
      <c r="L112" s="26">
        <f t="shared" si="5"/>
        <v>0</v>
      </c>
      <c r="M112" s="26"/>
      <c r="N112" s="26" t="str">
        <f t="shared" si="6"/>
        <v/>
      </c>
      <c r="O112" s="26" t="str">
        <f t="shared" si="7"/>
        <v/>
      </c>
      <c r="P112" s="26">
        <f t="shared" si="8"/>
        <v>20</v>
      </c>
      <c r="Q112" s="26" t="str">
        <f t="shared" si="9"/>
        <v/>
      </c>
      <c r="R112" s="27" t="s">
        <v>28</v>
      </c>
      <c r="S112" s="27" t="s">
        <v>28</v>
      </c>
      <c r="T112" s="27" t="s">
        <v>28</v>
      </c>
      <c r="U112" s="28" t="s">
        <v>28</v>
      </c>
    </row>
    <row r="113" spans="1:21" ht="72" customHeight="1" x14ac:dyDescent="0.25">
      <c r="A113" s="21">
        <v>112</v>
      </c>
      <c r="B113" s="22" t="s">
        <v>476</v>
      </c>
      <c r="C113" s="29" t="s">
        <v>521</v>
      </c>
      <c r="D113" s="23" t="s">
        <v>522</v>
      </c>
      <c r="E113" s="24" t="s">
        <v>523</v>
      </c>
      <c r="F113" s="23" t="s">
        <v>524</v>
      </c>
      <c r="G113" s="25" t="s">
        <v>26</v>
      </c>
      <c r="H113" s="26" t="s">
        <v>525</v>
      </c>
      <c r="I113" s="26"/>
      <c r="J113" s="26"/>
      <c r="K113" s="26">
        <v>5</v>
      </c>
      <c r="L113" s="26">
        <f t="shared" si="5"/>
        <v>0</v>
      </c>
      <c r="M113" s="26"/>
      <c r="N113" s="26" t="str">
        <f t="shared" si="6"/>
        <v/>
      </c>
      <c r="O113" s="26" t="str">
        <f t="shared" si="7"/>
        <v/>
      </c>
      <c r="P113" s="26">
        <f t="shared" si="8"/>
        <v>25</v>
      </c>
      <c r="Q113" s="26" t="str">
        <f t="shared" si="9"/>
        <v/>
      </c>
      <c r="R113" s="27" t="s">
        <v>28</v>
      </c>
      <c r="S113" s="27" t="s">
        <v>28</v>
      </c>
      <c r="T113" s="27" t="s">
        <v>28</v>
      </c>
      <c r="U113" s="28" t="s">
        <v>28</v>
      </c>
    </row>
    <row r="114" spans="1:21" ht="72" customHeight="1" x14ac:dyDescent="0.25">
      <c r="A114" s="21">
        <v>113</v>
      </c>
      <c r="B114" s="2" t="s">
        <v>476</v>
      </c>
      <c r="C114" s="29" t="s">
        <v>526</v>
      </c>
      <c r="D114" s="3" t="s">
        <v>527</v>
      </c>
      <c r="E114" s="44" t="s">
        <v>528</v>
      </c>
      <c r="F114" s="3" t="s">
        <v>529</v>
      </c>
      <c r="G114" s="25" t="s">
        <v>26</v>
      </c>
      <c r="H114" s="26" t="s">
        <v>530</v>
      </c>
      <c r="I114" s="26"/>
      <c r="J114" s="26"/>
      <c r="K114" s="26">
        <v>5</v>
      </c>
      <c r="L114" s="26">
        <f t="shared" si="5"/>
        <v>0</v>
      </c>
      <c r="M114" s="26"/>
      <c r="N114" s="26" t="str">
        <f t="shared" si="6"/>
        <v/>
      </c>
      <c r="O114" s="26" t="str">
        <f t="shared" si="7"/>
        <v/>
      </c>
      <c r="P114" s="26">
        <f t="shared" si="8"/>
        <v>25</v>
      </c>
      <c r="Q114" s="26" t="str">
        <f t="shared" si="9"/>
        <v/>
      </c>
      <c r="R114" s="45" t="s">
        <v>28</v>
      </c>
      <c r="S114" s="45" t="s">
        <v>28</v>
      </c>
      <c r="T114" s="45" t="s">
        <v>28</v>
      </c>
      <c r="U114" s="45" t="s">
        <v>28</v>
      </c>
    </row>
    <row r="115" spans="1:21" ht="86.45" customHeight="1" x14ac:dyDescent="0.25">
      <c r="A115" s="21">
        <v>114</v>
      </c>
      <c r="B115" s="2" t="s">
        <v>476</v>
      </c>
      <c r="C115" s="46" t="s">
        <v>531</v>
      </c>
      <c r="D115" s="3" t="s">
        <v>532</v>
      </c>
      <c r="E115" s="44" t="s">
        <v>533</v>
      </c>
      <c r="F115" s="3" t="s">
        <v>534</v>
      </c>
      <c r="G115" s="25" t="s">
        <v>26</v>
      </c>
      <c r="H115" s="26" t="s">
        <v>535</v>
      </c>
      <c r="I115" s="26"/>
      <c r="J115" s="26"/>
      <c r="K115" s="26">
        <v>4</v>
      </c>
      <c r="L115" s="26">
        <f t="shared" si="5"/>
        <v>0</v>
      </c>
      <c r="M115" s="26"/>
      <c r="N115" s="26" t="str">
        <f t="shared" si="6"/>
        <v/>
      </c>
      <c r="O115" s="26" t="str">
        <f t="shared" si="7"/>
        <v/>
      </c>
      <c r="P115" s="26">
        <f t="shared" si="8"/>
        <v>20</v>
      </c>
      <c r="Q115" s="26" t="str">
        <f t="shared" si="9"/>
        <v/>
      </c>
      <c r="R115" s="45" t="s">
        <v>28</v>
      </c>
      <c r="S115" s="45" t="s">
        <v>28</v>
      </c>
      <c r="T115" s="45"/>
      <c r="U115" s="45"/>
    </row>
    <row r="116" spans="1:21" ht="90" customHeight="1" x14ac:dyDescent="0.25">
      <c r="A116" s="21">
        <v>115</v>
      </c>
      <c r="B116" s="22" t="s">
        <v>476</v>
      </c>
      <c r="C116" s="6" t="s">
        <v>536</v>
      </c>
      <c r="D116" s="23" t="s">
        <v>522</v>
      </c>
      <c r="E116" s="24" t="s">
        <v>523</v>
      </c>
      <c r="F116" s="23" t="s">
        <v>524</v>
      </c>
      <c r="G116" s="25" t="s">
        <v>26</v>
      </c>
      <c r="H116" s="26" t="s">
        <v>537</v>
      </c>
      <c r="I116" s="26"/>
      <c r="J116" s="26"/>
      <c r="K116" s="26">
        <v>4</v>
      </c>
      <c r="L116" s="26">
        <f t="shared" si="5"/>
        <v>0</v>
      </c>
      <c r="M116" s="26"/>
      <c r="N116" s="26" t="str">
        <f t="shared" si="6"/>
        <v/>
      </c>
      <c r="O116" s="26" t="str">
        <f t="shared" si="7"/>
        <v/>
      </c>
      <c r="P116" s="26">
        <f t="shared" si="8"/>
        <v>20</v>
      </c>
      <c r="Q116" s="26" t="str">
        <f t="shared" si="9"/>
        <v/>
      </c>
      <c r="R116" s="27" t="s">
        <v>28</v>
      </c>
      <c r="S116" s="27" t="s">
        <v>28</v>
      </c>
      <c r="T116" s="27" t="s">
        <v>28</v>
      </c>
      <c r="U116" s="28" t="s">
        <v>28</v>
      </c>
    </row>
    <row r="117" spans="1:21" ht="90" customHeight="1" x14ac:dyDescent="0.25">
      <c r="A117" s="21">
        <v>116</v>
      </c>
      <c r="B117" s="22" t="s">
        <v>476</v>
      </c>
      <c r="C117" s="6" t="s">
        <v>538</v>
      </c>
      <c r="D117" s="23" t="s">
        <v>527</v>
      </c>
      <c r="E117" s="24" t="s">
        <v>528</v>
      </c>
      <c r="F117" s="23" t="s">
        <v>529</v>
      </c>
      <c r="G117" s="25" t="s">
        <v>26</v>
      </c>
      <c r="H117" s="26" t="s">
        <v>539</v>
      </c>
      <c r="I117" s="26"/>
      <c r="J117" s="26"/>
      <c r="K117" s="26">
        <v>4</v>
      </c>
      <c r="L117" s="26">
        <f t="shared" si="5"/>
        <v>0</v>
      </c>
      <c r="M117" s="26"/>
      <c r="N117" s="26" t="str">
        <f t="shared" si="6"/>
        <v/>
      </c>
      <c r="O117" s="26" t="str">
        <f t="shared" si="7"/>
        <v/>
      </c>
      <c r="P117" s="26">
        <f t="shared" si="8"/>
        <v>20</v>
      </c>
      <c r="Q117" s="26" t="str">
        <f t="shared" si="9"/>
        <v/>
      </c>
      <c r="R117" s="27" t="s">
        <v>28</v>
      </c>
      <c r="S117" s="27" t="s">
        <v>28</v>
      </c>
      <c r="T117" s="27" t="s">
        <v>28</v>
      </c>
      <c r="U117" s="28" t="s">
        <v>28</v>
      </c>
    </row>
    <row r="118" spans="1:21" ht="105" customHeight="1" x14ac:dyDescent="0.25">
      <c r="A118" s="21">
        <v>117</v>
      </c>
      <c r="B118" s="22" t="s">
        <v>476</v>
      </c>
      <c r="C118" s="29" t="s">
        <v>540</v>
      </c>
      <c r="D118" s="23" t="s">
        <v>541</v>
      </c>
      <c r="E118" s="24" t="s">
        <v>542</v>
      </c>
      <c r="F118" s="23" t="s">
        <v>543</v>
      </c>
      <c r="G118" s="25" t="s">
        <v>26</v>
      </c>
      <c r="H118" s="26" t="s">
        <v>544</v>
      </c>
      <c r="I118" s="26"/>
      <c r="J118" s="26"/>
      <c r="K118" s="26">
        <v>4</v>
      </c>
      <c r="L118" s="26">
        <f t="shared" si="5"/>
        <v>0</v>
      </c>
      <c r="M118" s="26"/>
      <c r="N118" s="26" t="str">
        <f t="shared" si="6"/>
        <v/>
      </c>
      <c r="O118" s="26" t="str">
        <f t="shared" si="7"/>
        <v/>
      </c>
      <c r="P118" s="26">
        <f t="shared" si="8"/>
        <v>20</v>
      </c>
      <c r="Q118" s="26" t="str">
        <f t="shared" si="9"/>
        <v/>
      </c>
      <c r="R118" s="27" t="s">
        <v>28</v>
      </c>
      <c r="S118" s="27" t="s">
        <v>28</v>
      </c>
      <c r="T118" s="27" t="s">
        <v>28</v>
      </c>
      <c r="U118" s="28" t="s">
        <v>28</v>
      </c>
    </row>
    <row r="119" spans="1:21" ht="90" customHeight="1" x14ac:dyDescent="0.25">
      <c r="A119" s="21">
        <v>118</v>
      </c>
      <c r="B119" s="7" t="s">
        <v>476</v>
      </c>
      <c r="C119" s="29" t="s">
        <v>545</v>
      </c>
      <c r="D119" s="8" t="s">
        <v>546</v>
      </c>
      <c r="E119" s="9" t="s">
        <v>547</v>
      </c>
      <c r="F119" s="8" t="s">
        <v>548</v>
      </c>
      <c r="G119" s="25" t="s">
        <v>26</v>
      </c>
      <c r="H119" s="26" t="s">
        <v>549</v>
      </c>
      <c r="I119" s="26"/>
      <c r="J119" s="26"/>
      <c r="K119" s="26">
        <v>4</v>
      </c>
      <c r="L119" s="26">
        <f t="shared" si="5"/>
        <v>0</v>
      </c>
      <c r="M119" s="26"/>
      <c r="N119" s="26" t="str">
        <f t="shared" si="6"/>
        <v/>
      </c>
      <c r="O119" s="26" t="str">
        <f t="shared" si="7"/>
        <v/>
      </c>
      <c r="P119" s="26">
        <f t="shared" si="8"/>
        <v>20</v>
      </c>
      <c r="Q119" s="26" t="str">
        <f t="shared" si="9"/>
        <v/>
      </c>
      <c r="R119" s="10" t="s">
        <v>28</v>
      </c>
      <c r="S119" s="10" t="s">
        <v>28</v>
      </c>
      <c r="T119" s="10" t="s">
        <v>28</v>
      </c>
      <c r="U119" s="11" t="s">
        <v>28</v>
      </c>
    </row>
    <row r="120" spans="1:21" ht="90" customHeight="1" x14ac:dyDescent="0.25">
      <c r="A120" s="21">
        <v>119</v>
      </c>
      <c r="B120" s="7" t="s">
        <v>476</v>
      </c>
      <c r="C120" s="6" t="s">
        <v>550</v>
      </c>
      <c r="D120" s="8" t="s">
        <v>551</v>
      </c>
      <c r="E120" s="9" t="s">
        <v>552</v>
      </c>
      <c r="F120" s="8" t="s">
        <v>553</v>
      </c>
      <c r="G120" s="25" t="s">
        <v>26</v>
      </c>
      <c r="H120" s="26" t="s">
        <v>554</v>
      </c>
      <c r="I120" s="26"/>
      <c r="J120" s="26"/>
      <c r="K120" s="26">
        <v>4</v>
      </c>
      <c r="L120" s="26">
        <f t="shared" si="5"/>
        <v>0</v>
      </c>
      <c r="M120" s="26"/>
      <c r="N120" s="26" t="str">
        <f t="shared" si="6"/>
        <v/>
      </c>
      <c r="O120" s="26" t="str">
        <f t="shared" si="7"/>
        <v/>
      </c>
      <c r="P120" s="26">
        <f t="shared" si="8"/>
        <v>20</v>
      </c>
      <c r="Q120" s="26" t="str">
        <f t="shared" si="9"/>
        <v/>
      </c>
      <c r="R120" s="10" t="s">
        <v>28</v>
      </c>
      <c r="S120" s="10" t="s">
        <v>28</v>
      </c>
      <c r="T120" s="10" t="s">
        <v>28</v>
      </c>
      <c r="U120" s="11" t="s">
        <v>28</v>
      </c>
    </row>
    <row r="121" spans="1:21" ht="90" customHeight="1" x14ac:dyDescent="0.25">
      <c r="A121" s="21">
        <v>120</v>
      </c>
      <c r="B121" s="7" t="s">
        <v>476</v>
      </c>
      <c r="C121" s="8" t="s">
        <v>555</v>
      </c>
      <c r="D121" s="8" t="s">
        <v>556</v>
      </c>
      <c r="E121" s="8" t="s">
        <v>557</v>
      </c>
      <c r="F121" s="8" t="s">
        <v>558</v>
      </c>
      <c r="G121" s="25" t="s">
        <v>26</v>
      </c>
      <c r="H121" s="26" t="s">
        <v>559</v>
      </c>
      <c r="I121" s="26"/>
      <c r="J121" s="26"/>
      <c r="K121" s="26">
        <v>5</v>
      </c>
      <c r="L121" s="26">
        <f t="shared" si="5"/>
        <v>0</v>
      </c>
      <c r="M121" s="26"/>
      <c r="N121" s="26" t="str">
        <f t="shared" si="6"/>
        <v/>
      </c>
      <c r="O121" s="26" t="str">
        <f t="shared" si="7"/>
        <v/>
      </c>
      <c r="P121" s="26">
        <f t="shared" si="8"/>
        <v>25</v>
      </c>
      <c r="Q121" s="26" t="str">
        <f t="shared" si="9"/>
        <v/>
      </c>
      <c r="R121" s="27" t="s">
        <v>28</v>
      </c>
      <c r="S121" s="27" t="s">
        <v>28</v>
      </c>
      <c r="T121" s="27" t="s">
        <v>28</v>
      </c>
      <c r="U121" s="28" t="s">
        <v>28</v>
      </c>
    </row>
    <row r="122" spans="1:21" ht="90" customHeight="1" x14ac:dyDescent="0.25">
      <c r="A122" s="21">
        <v>121</v>
      </c>
      <c r="B122" s="7" t="s">
        <v>476</v>
      </c>
      <c r="C122" s="8" t="s">
        <v>560</v>
      </c>
      <c r="D122" s="8" t="s">
        <v>561</v>
      </c>
      <c r="E122" s="8" t="s">
        <v>562</v>
      </c>
      <c r="F122" s="8" t="s">
        <v>563</v>
      </c>
      <c r="G122" s="25" t="s">
        <v>26</v>
      </c>
      <c r="H122" s="26" t="s">
        <v>564</v>
      </c>
      <c r="I122" s="26"/>
      <c r="J122" s="26"/>
      <c r="K122" s="26">
        <v>4</v>
      </c>
      <c r="L122" s="26">
        <f t="shared" si="5"/>
        <v>0</v>
      </c>
      <c r="M122" s="26"/>
      <c r="N122" s="26" t="str">
        <f t="shared" si="6"/>
        <v/>
      </c>
      <c r="O122" s="26" t="str">
        <f t="shared" si="7"/>
        <v/>
      </c>
      <c r="P122" s="26">
        <f t="shared" si="8"/>
        <v>20</v>
      </c>
      <c r="Q122" s="26" t="str">
        <f t="shared" si="9"/>
        <v/>
      </c>
      <c r="R122" s="27" t="s">
        <v>28</v>
      </c>
      <c r="S122" s="27" t="s">
        <v>28</v>
      </c>
      <c r="T122" s="27" t="s">
        <v>28</v>
      </c>
      <c r="U122" s="28" t="s">
        <v>28</v>
      </c>
    </row>
    <row r="123" spans="1:21" ht="90" customHeight="1" x14ac:dyDescent="0.25">
      <c r="A123" s="21">
        <v>122</v>
      </c>
      <c r="B123" s="7" t="s">
        <v>476</v>
      </c>
      <c r="C123" s="8" t="s">
        <v>565</v>
      </c>
      <c r="D123" s="8" t="s">
        <v>566</v>
      </c>
      <c r="E123" s="8" t="s">
        <v>567</v>
      </c>
      <c r="F123" s="8" t="s">
        <v>568</v>
      </c>
      <c r="G123" s="25" t="s">
        <v>26</v>
      </c>
      <c r="H123" s="26" t="s">
        <v>569</v>
      </c>
      <c r="I123" s="26"/>
      <c r="J123" s="26"/>
      <c r="K123" s="26">
        <v>4</v>
      </c>
      <c r="L123" s="26">
        <f t="shared" si="5"/>
        <v>0</v>
      </c>
      <c r="M123" s="26"/>
      <c r="N123" s="26" t="str">
        <f t="shared" si="6"/>
        <v/>
      </c>
      <c r="O123" s="26" t="str">
        <f t="shared" si="7"/>
        <v/>
      </c>
      <c r="P123" s="26">
        <f t="shared" si="8"/>
        <v>20</v>
      </c>
      <c r="Q123" s="26" t="str">
        <f t="shared" si="9"/>
        <v/>
      </c>
      <c r="R123" s="27" t="s">
        <v>28</v>
      </c>
      <c r="S123" s="27" t="s">
        <v>28</v>
      </c>
      <c r="T123" s="27" t="s">
        <v>28</v>
      </c>
      <c r="U123" s="28" t="s">
        <v>28</v>
      </c>
    </row>
    <row r="124" spans="1:21" ht="60" customHeight="1" x14ac:dyDescent="0.25">
      <c r="A124" s="21">
        <v>123</v>
      </c>
      <c r="B124" s="22" t="s">
        <v>476</v>
      </c>
      <c r="C124" s="43" t="s">
        <v>570</v>
      </c>
      <c r="D124" s="23" t="s">
        <v>571</v>
      </c>
      <c r="E124" s="32" t="s">
        <v>572</v>
      </c>
      <c r="F124" s="23" t="s">
        <v>573</v>
      </c>
      <c r="G124" s="25" t="s">
        <v>26</v>
      </c>
      <c r="H124" s="26" t="s">
        <v>574</v>
      </c>
      <c r="I124" s="26"/>
      <c r="J124" s="26"/>
      <c r="K124" s="26">
        <v>4</v>
      </c>
      <c r="L124" s="26">
        <f t="shared" si="5"/>
        <v>0</v>
      </c>
      <c r="M124" s="26"/>
      <c r="N124" s="26" t="str">
        <f t="shared" si="6"/>
        <v/>
      </c>
      <c r="O124" s="26" t="str">
        <f t="shared" si="7"/>
        <v/>
      </c>
      <c r="P124" s="26">
        <f t="shared" si="8"/>
        <v>20</v>
      </c>
      <c r="Q124" s="26" t="str">
        <f t="shared" si="9"/>
        <v/>
      </c>
      <c r="R124" s="33" t="s">
        <v>28</v>
      </c>
      <c r="S124" s="33" t="s">
        <v>28</v>
      </c>
      <c r="T124" s="33" t="s">
        <v>28</v>
      </c>
      <c r="U124" s="34" t="s">
        <v>28</v>
      </c>
    </row>
    <row r="125" spans="1:21" ht="60" customHeight="1" x14ac:dyDescent="0.25">
      <c r="A125" s="21">
        <v>124</v>
      </c>
      <c r="B125" s="22" t="s">
        <v>476</v>
      </c>
      <c r="C125" s="43" t="s">
        <v>575</v>
      </c>
      <c r="D125" s="23" t="s">
        <v>576</v>
      </c>
      <c r="E125" s="32" t="s">
        <v>577</v>
      </c>
      <c r="F125" s="23" t="s">
        <v>578</v>
      </c>
      <c r="G125" s="25" t="s">
        <v>26</v>
      </c>
      <c r="H125" s="26" t="s">
        <v>579</v>
      </c>
      <c r="I125" s="26"/>
      <c r="J125" s="26"/>
      <c r="K125" s="26">
        <v>5</v>
      </c>
      <c r="L125" s="26">
        <f t="shared" si="5"/>
        <v>0</v>
      </c>
      <c r="M125" s="26"/>
      <c r="N125" s="26" t="str">
        <f t="shared" si="6"/>
        <v/>
      </c>
      <c r="O125" s="26" t="str">
        <f t="shared" si="7"/>
        <v/>
      </c>
      <c r="P125" s="26">
        <f t="shared" si="8"/>
        <v>25</v>
      </c>
      <c r="Q125" s="26" t="str">
        <f t="shared" si="9"/>
        <v/>
      </c>
      <c r="R125" s="33" t="s">
        <v>28</v>
      </c>
      <c r="S125" s="33" t="s">
        <v>28</v>
      </c>
      <c r="T125" s="33"/>
      <c r="U125" s="34"/>
    </row>
    <row r="126" spans="1:21" ht="60" customHeight="1" x14ac:dyDescent="0.25">
      <c r="A126" s="21">
        <v>125</v>
      </c>
      <c r="B126" s="22" t="s">
        <v>476</v>
      </c>
      <c r="C126" s="43" t="s">
        <v>580</v>
      </c>
      <c r="D126" s="23" t="s">
        <v>581</v>
      </c>
      <c r="E126" s="32" t="s">
        <v>582</v>
      </c>
      <c r="F126" s="23" t="s">
        <v>583</v>
      </c>
      <c r="G126" s="25" t="s">
        <v>26</v>
      </c>
      <c r="H126" s="26" t="s">
        <v>584</v>
      </c>
      <c r="I126" s="26"/>
      <c r="J126" s="26"/>
      <c r="K126" s="26">
        <v>4</v>
      </c>
      <c r="L126" s="26">
        <f t="shared" si="5"/>
        <v>0</v>
      </c>
      <c r="M126" s="26"/>
      <c r="N126" s="26" t="str">
        <f t="shared" si="6"/>
        <v/>
      </c>
      <c r="O126" s="26" t="str">
        <f t="shared" si="7"/>
        <v/>
      </c>
      <c r="P126" s="26">
        <f t="shared" si="8"/>
        <v>20</v>
      </c>
      <c r="Q126" s="26" t="str">
        <f t="shared" si="9"/>
        <v/>
      </c>
      <c r="R126" s="33" t="s">
        <v>28</v>
      </c>
      <c r="S126" s="33" t="s">
        <v>28</v>
      </c>
      <c r="T126" s="33" t="s">
        <v>28</v>
      </c>
      <c r="U126" s="34" t="s">
        <v>28</v>
      </c>
    </row>
    <row r="127" spans="1:21" ht="60" customHeight="1" x14ac:dyDescent="0.25">
      <c r="A127" s="21">
        <v>126</v>
      </c>
      <c r="B127" s="22" t="s">
        <v>476</v>
      </c>
      <c r="C127" s="43" t="s">
        <v>585</v>
      </c>
      <c r="D127" s="23" t="s">
        <v>586</v>
      </c>
      <c r="E127" s="32" t="s">
        <v>587</v>
      </c>
      <c r="F127" s="23" t="s">
        <v>588</v>
      </c>
      <c r="G127" s="25" t="s">
        <v>26</v>
      </c>
      <c r="H127" s="26" t="s">
        <v>589</v>
      </c>
      <c r="I127" s="26"/>
      <c r="J127" s="26"/>
      <c r="K127" s="26">
        <v>4</v>
      </c>
      <c r="L127" s="26">
        <f t="shared" si="5"/>
        <v>0</v>
      </c>
      <c r="M127" s="26"/>
      <c r="N127" s="26" t="str">
        <f t="shared" si="6"/>
        <v/>
      </c>
      <c r="O127" s="26" t="str">
        <f t="shared" si="7"/>
        <v/>
      </c>
      <c r="P127" s="26">
        <f t="shared" si="8"/>
        <v>20</v>
      </c>
      <c r="Q127" s="26" t="str">
        <f t="shared" si="9"/>
        <v/>
      </c>
      <c r="R127" s="33" t="s">
        <v>28</v>
      </c>
      <c r="S127" s="33" t="s">
        <v>28</v>
      </c>
      <c r="T127" s="33" t="s">
        <v>28</v>
      </c>
      <c r="U127" s="34" t="s">
        <v>28</v>
      </c>
    </row>
    <row r="128" spans="1:21" ht="45" customHeight="1" x14ac:dyDescent="0.25">
      <c r="A128" s="21">
        <v>127</v>
      </c>
      <c r="B128" s="22" t="s">
        <v>590</v>
      </c>
      <c r="C128" s="29" t="s">
        <v>591</v>
      </c>
      <c r="D128" s="23" t="s">
        <v>592</v>
      </c>
      <c r="E128" s="24" t="s">
        <v>593</v>
      </c>
      <c r="F128" s="23" t="s">
        <v>594</v>
      </c>
      <c r="G128" s="25" t="s">
        <v>26</v>
      </c>
      <c r="H128" s="26" t="s">
        <v>595</v>
      </c>
      <c r="I128" s="26"/>
      <c r="J128" s="26"/>
      <c r="K128" s="26">
        <v>2</v>
      </c>
      <c r="L128" s="26">
        <f t="shared" si="5"/>
        <v>0</v>
      </c>
      <c r="M128" s="26"/>
      <c r="N128" s="26" t="str">
        <f t="shared" si="6"/>
        <v/>
      </c>
      <c r="O128" s="26" t="str">
        <f t="shared" si="7"/>
        <v/>
      </c>
      <c r="P128" s="26">
        <f t="shared" si="8"/>
        <v>10</v>
      </c>
      <c r="Q128" s="26" t="str">
        <f t="shared" si="9"/>
        <v/>
      </c>
      <c r="R128" s="27"/>
      <c r="S128" s="27" t="s">
        <v>28</v>
      </c>
      <c r="T128" s="27" t="s">
        <v>28</v>
      </c>
      <c r="U128" s="28"/>
    </row>
    <row r="129" spans="1:21" ht="75" customHeight="1" x14ac:dyDescent="0.25">
      <c r="A129" s="21">
        <v>128</v>
      </c>
      <c r="B129" s="22" t="s">
        <v>590</v>
      </c>
      <c r="C129" s="29" t="s">
        <v>596</v>
      </c>
      <c r="D129" s="23" t="s">
        <v>597</v>
      </c>
      <c r="E129" s="24" t="s">
        <v>598</v>
      </c>
      <c r="F129" s="23" t="s">
        <v>599</v>
      </c>
      <c r="G129" s="25" t="s">
        <v>26</v>
      </c>
      <c r="H129" s="26" t="s">
        <v>600</v>
      </c>
      <c r="I129" s="26"/>
      <c r="J129" s="26"/>
      <c r="K129" s="26">
        <v>3</v>
      </c>
      <c r="L129" s="26">
        <f t="shared" si="5"/>
        <v>0</v>
      </c>
      <c r="M129" s="26"/>
      <c r="N129" s="26" t="str">
        <f t="shared" si="6"/>
        <v/>
      </c>
      <c r="O129" s="26" t="str">
        <f t="shared" si="7"/>
        <v/>
      </c>
      <c r="P129" s="26">
        <f t="shared" si="8"/>
        <v>15</v>
      </c>
      <c r="Q129" s="26" t="str">
        <f t="shared" si="9"/>
        <v/>
      </c>
      <c r="R129" s="27"/>
      <c r="S129" s="27"/>
      <c r="T129" s="27" t="s">
        <v>28</v>
      </c>
      <c r="U129" s="28"/>
    </row>
    <row r="130" spans="1:21" ht="90" customHeight="1" x14ac:dyDescent="0.25">
      <c r="A130" s="21">
        <v>129</v>
      </c>
      <c r="B130" s="22" t="s">
        <v>590</v>
      </c>
      <c r="C130" s="29" t="s">
        <v>601</v>
      </c>
      <c r="D130" s="23" t="s">
        <v>602</v>
      </c>
      <c r="E130" s="24" t="s">
        <v>603</v>
      </c>
      <c r="F130" s="23" t="s">
        <v>604</v>
      </c>
      <c r="G130" s="25" t="s">
        <v>26</v>
      </c>
      <c r="H130" s="26" t="s">
        <v>605</v>
      </c>
      <c r="I130" s="26"/>
      <c r="J130" s="26"/>
      <c r="K130" s="26">
        <v>5</v>
      </c>
      <c r="L130" s="26">
        <f t="shared" ref="L130:L193" si="10">IF(M130="",0,N130)</f>
        <v>0</v>
      </c>
      <c r="M130" s="26"/>
      <c r="N130" s="26" t="str">
        <f t="shared" ref="N130:N193" si="11">IF(M130="", "", IF(M130=1,1,IF(M130=2,3,IF(M130=3,5,""))))</f>
        <v/>
      </c>
      <c r="O130" s="26" t="str">
        <f t="shared" ref="O130:O193" si="12">IF(M130="", "", N130 * IF(K130="",1,K130))</f>
        <v/>
      </c>
      <c r="P130" s="26">
        <f t="shared" ref="P130:P193" si="13">5 * IF(K130="",1,K130)</f>
        <v>25</v>
      </c>
      <c r="Q130" s="26" t="str">
        <f t="shared" ref="Q130:Q193" si="14">IF(M130="", "", (O130 / P130) * 5)</f>
        <v/>
      </c>
      <c r="R130" s="27"/>
      <c r="S130" s="27"/>
      <c r="T130" s="27" t="s">
        <v>28</v>
      </c>
      <c r="U130" s="28"/>
    </row>
    <row r="131" spans="1:21" ht="90" customHeight="1" x14ac:dyDescent="0.25">
      <c r="A131" s="21">
        <v>130</v>
      </c>
      <c r="B131" s="22" t="s">
        <v>590</v>
      </c>
      <c r="C131" s="29" t="s">
        <v>606</v>
      </c>
      <c r="D131" s="23" t="s">
        <v>607</v>
      </c>
      <c r="E131" s="24" t="s">
        <v>608</v>
      </c>
      <c r="F131" s="23" t="s">
        <v>609</v>
      </c>
      <c r="G131" s="25" t="s">
        <v>26</v>
      </c>
      <c r="H131" s="26" t="s">
        <v>610</v>
      </c>
      <c r="I131" s="26"/>
      <c r="J131" s="26"/>
      <c r="K131" s="26">
        <v>5</v>
      </c>
      <c r="L131" s="26">
        <f t="shared" si="10"/>
        <v>0</v>
      </c>
      <c r="M131" s="26"/>
      <c r="N131" s="26" t="str">
        <f t="shared" si="11"/>
        <v/>
      </c>
      <c r="O131" s="26" t="str">
        <f t="shared" si="12"/>
        <v/>
      </c>
      <c r="P131" s="26">
        <f t="shared" si="13"/>
        <v>25</v>
      </c>
      <c r="Q131" s="26" t="str">
        <f t="shared" si="14"/>
        <v/>
      </c>
      <c r="R131" s="27"/>
      <c r="S131" s="27"/>
      <c r="T131" s="27" t="s">
        <v>28</v>
      </c>
      <c r="U131" s="28"/>
    </row>
    <row r="132" spans="1:21" ht="105" customHeight="1" x14ac:dyDescent="0.25">
      <c r="A132" s="21">
        <v>131</v>
      </c>
      <c r="B132" s="22" t="s">
        <v>590</v>
      </c>
      <c r="C132" s="29" t="s">
        <v>611</v>
      </c>
      <c r="D132" s="23" t="s">
        <v>612</v>
      </c>
      <c r="E132" s="24" t="s">
        <v>613</v>
      </c>
      <c r="F132" s="23" t="s">
        <v>614</v>
      </c>
      <c r="G132" s="25" t="s">
        <v>26</v>
      </c>
      <c r="H132" s="26" t="s">
        <v>615</v>
      </c>
      <c r="I132" s="26"/>
      <c r="J132" s="26"/>
      <c r="K132" s="26">
        <v>4</v>
      </c>
      <c r="L132" s="26">
        <f t="shared" si="10"/>
        <v>0</v>
      </c>
      <c r="M132" s="26"/>
      <c r="N132" s="26" t="str">
        <f t="shared" si="11"/>
        <v/>
      </c>
      <c r="O132" s="26" t="str">
        <f t="shared" si="12"/>
        <v/>
      </c>
      <c r="P132" s="26">
        <f t="shared" si="13"/>
        <v>20</v>
      </c>
      <c r="Q132" s="26" t="str">
        <f t="shared" si="14"/>
        <v/>
      </c>
      <c r="R132" s="27"/>
      <c r="S132" s="27"/>
      <c r="T132" s="27"/>
      <c r="U132" s="28"/>
    </row>
    <row r="133" spans="1:21" ht="75" customHeight="1" x14ac:dyDescent="0.25">
      <c r="A133" s="21">
        <v>132</v>
      </c>
      <c r="B133" s="22" t="s">
        <v>590</v>
      </c>
      <c r="C133" s="29" t="s">
        <v>616</v>
      </c>
      <c r="D133" s="23" t="s">
        <v>617</v>
      </c>
      <c r="E133" s="24" t="s">
        <v>618</v>
      </c>
      <c r="F133" s="23" t="s">
        <v>619</v>
      </c>
      <c r="G133" s="25" t="s">
        <v>26</v>
      </c>
      <c r="H133" s="26" t="s">
        <v>620</v>
      </c>
      <c r="I133" s="26"/>
      <c r="J133" s="26"/>
      <c r="K133" s="26">
        <v>4</v>
      </c>
      <c r="L133" s="26">
        <f t="shared" si="10"/>
        <v>0</v>
      </c>
      <c r="M133" s="26"/>
      <c r="N133" s="26" t="str">
        <f t="shared" si="11"/>
        <v/>
      </c>
      <c r="O133" s="26" t="str">
        <f t="shared" si="12"/>
        <v/>
      </c>
      <c r="P133" s="26">
        <f t="shared" si="13"/>
        <v>20</v>
      </c>
      <c r="Q133" s="26" t="str">
        <f t="shared" si="14"/>
        <v/>
      </c>
      <c r="R133" s="27"/>
      <c r="S133" s="27"/>
      <c r="T133" s="27"/>
      <c r="U133" s="28"/>
    </row>
    <row r="134" spans="1:21" ht="90" customHeight="1" x14ac:dyDescent="0.25">
      <c r="A134" s="21">
        <v>133</v>
      </c>
      <c r="B134" s="22" t="s">
        <v>590</v>
      </c>
      <c r="C134" s="6" t="s">
        <v>621</v>
      </c>
      <c r="D134" s="23" t="s">
        <v>622</v>
      </c>
      <c r="E134" s="24" t="s">
        <v>623</v>
      </c>
      <c r="F134" s="23" t="s">
        <v>624</v>
      </c>
      <c r="G134" s="25" t="s">
        <v>26</v>
      </c>
      <c r="H134" s="26" t="s">
        <v>625</v>
      </c>
      <c r="I134" s="26"/>
      <c r="J134" s="26"/>
      <c r="K134" s="26">
        <v>5</v>
      </c>
      <c r="L134" s="26">
        <f t="shared" si="10"/>
        <v>0</v>
      </c>
      <c r="M134" s="26"/>
      <c r="N134" s="26" t="str">
        <f t="shared" si="11"/>
        <v/>
      </c>
      <c r="O134" s="26" t="str">
        <f t="shared" si="12"/>
        <v/>
      </c>
      <c r="P134" s="26">
        <f t="shared" si="13"/>
        <v>25</v>
      </c>
      <c r="Q134" s="26" t="str">
        <f t="shared" si="14"/>
        <v/>
      </c>
      <c r="R134" s="27"/>
      <c r="S134" s="27" t="s">
        <v>28</v>
      </c>
      <c r="T134" s="27"/>
      <c r="U134" s="28"/>
    </row>
    <row r="135" spans="1:21" ht="90" customHeight="1" x14ac:dyDescent="0.25">
      <c r="A135" s="21">
        <v>134</v>
      </c>
      <c r="B135" s="22" t="s">
        <v>590</v>
      </c>
      <c r="C135" s="29" t="s">
        <v>626</v>
      </c>
      <c r="D135" s="23" t="s">
        <v>627</v>
      </c>
      <c r="E135" s="24" t="s">
        <v>628</v>
      </c>
      <c r="F135" s="23" t="s">
        <v>629</v>
      </c>
      <c r="G135" s="25" t="s">
        <v>26</v>
      </c>
      <c r="H135" s="26" t="s">
        <v>630</v>
      </c>
      <c r="I135" s="26"/>
      <c r="J135" s="26"/>
      <c r="K135" s="26">
        <v>4</v>
      </c>
      <c r="L135" s="26">
        <f t="shared" si="10"/>
        <v>0</v>
      </c>
      <c r="M135" s="26"/>
      <c r="N135" s="26" t="str">
        <f t="shared" si="11"/>
        <v/>
      </c>
      <c r="O135" s="26" t="str">
        <f t="shared" si="12"/>
        <v/>
      </c>
      <c r="P135" s="26">
        <f t="shared" si="13"/>
        <v>20</v>
      </c>
      <c r="Q135" s="26" t="str">
        <f t="shared" si="14"/>
        <v/>
      </c>
      <c r="R135" s="27" t="s">
        <v>28</v>
      </c>
      <c r="S135" s="27" t="s">
        <v>28</v>
      </c>
      <c r="T135" s="27" t="s">
        <v>28</v>
      </c>
      <c r="U135" s="28"/>
    </row>
    <row r="136" spans="1:21" ht="105" customHeight="1" x14ac:dyDescent="0.25">
      <c r="A136" s="21">
        <v>135</v>
      </c>
      <c r="B136" s="22" t="s">
        <v>590</v>
      </c>
      <c r="C136" s="29" t="s">
        <v>631</v>
      </c>
      <c r="D136" s="23" t="s">
        <v>632</v>
      </c>
      <c r="E136" s="24" t="s">
        <v>633</v>
      </c>
      <c r="F136" s="23" t="s">
        <v>634</v>
      </c>
      <c r="G136" s="25" t="s">
        <v>26</v>
      </c>
      <c r="H136" s="26" t="s">
        <v>635</v>
      </c>
      <c r="I136" s="26"/>
      <c r="J136" s="26"/>
      <c r="K136" s="26">
        <v>4</v>
      </c>
      <c r="L136" s="26">
        <f t="shared" si="10"/>
        <v>0</v>
      </c>
      <c r="M136" s="26"/>
      <c r="N136" s="26" t="str">
        <f t="shared" si="11"/>
        <v/>
      </c>
      <c r="O136" s="26" t="str">
        <f t="shared" si="12"/>
        <v/>
      </c>
      <c r="P136" s="26">
        <f t="shared" si="13"/>
        <v>20</v>
      </c>
      <c r="Q136" s="26" t="str">
        <f t="shared" si="14"/>
        <v/>
      </c>
      <c r="R136" s="27"/>
      <c r="S136" s="27"/>
      <c r="T136" s="27"/>
      <c r="U136" s="28"/>
    </row>
    <row r="137" spans="1:21" ht="86.45" customHeight="1" x14ac:dyDescent="0.25">
      <c r="A137" s="21">
        <v>136</v>
      </c>
      <c r="B137" s="22" t="s">
        <v>590</v>
      </c>
      <c r="C137" s="29" t="s">
        <v>636</v>
      </c>
      <c r="D137" s="23" t="s">
        <v>637</v>
      </c>
      <c r="E137" s="24" t="s">
        <v>638</v>
      </c>
      <c r="F137" s="23" t="s">
        <v>639</v>
      </c>
      <c r="G137" s="25" t="s">
        <v>26</v>
      </c>
      <c r="H137" s="26" t="s">
        <v>640</v>
      </c>
      <c r="I137" s="26"/>
      <c r="J137" s="26"/>
      <c r="K137" s="26">
        <v>4</v>
      </c>
      <c r="L137" s="26">
        <f t="shared" si="10"/>
        <v>0</v>
      </c>
      <c r="M137" s="26"/>
      <c r="N137" s="26" t="str">
        <f t="shared" si="11"/>
        <v/>
      </c>
      <c r="O137" s="26" t="str">
        <f t="shared" si="12"/>
        <v/>
      </c>
      <c r="P137" s="26">
        <f t="shared" si="13"/>
        <v>20</v>
      </c>
      <c r="Q137" s="26" t="str">
        <f t="shared" si="14"/>
        <v/>
      </c>
      <c r="R137" s="27"/>
      <c r="S137" s="27" t="s">
        <v>28</v>
      </c>
      <c r="T137" s="27" t="s">
        <v>28</v>
      </c>
      <c r="U137" s="28"/>
    </row>
    <row r="138" spans="1:21" ht="57.6" customHeight="1" x14ac:dyDescent="0.25">
      <c r="A138" s="21">
        <v>137</v>
      </c>
      <c r="B138" s="22" t="s">
        <v>590</v>
      </c>
      <c r="C138" s="29" t="s">
        <v>641</v>
      </c>
      <c r="D138" s="23" t="s">
        <v>642</v>
      </c>
      <c r="E138" s="24" t="s">
        <v>643</v>
      </c>
      <c r="F138" s="23" t="s">
        <v>644</v>
      </c>
      <c r="G138" s="25" t="s">
        <v>26</v>
      </c>
      <c r="H138" s="26" t="s">
        <v>645</v>
      </c>
      <c r="I138" s="26"/>
      <c r="J138" s="26"/>
      <c r="K138" s="26">
        <v>3</v>
      </c>
      <c r="L138" s="26">
        <f t="shared" si="10"/>
        <v>0</v>
      </c>
      <c r="M138" s="26"/>
      <c r="N138" s="26" t="str">
        <f t="shared" si="11"/>
        <v/>
      </c>
      <c r="O138" s="26" t="str">
        <f t="shared" si="12"/>
        <v/>
      </c>
      <c r="P138" s="26">
        <f t="shared" si="13"/>
        <v>15</v>
      </c>
      <c r="Q138" s="26" t="str">
        <f t="shared" si="14"/>
        <v/>
      </c>
      <c r="R138" s="27"/>
      <c r="S138" s="27"/>
      <c r="T138" s="27" t="s">
        <v>28</v>
      </c>
      <c r="U138" s="28"/>
    </row>
    <row r="139" spans="1:21" ht="57.6" customHeight="1" x14ac:dyDescent="0.25">
      <c r="A139" s="21">
        <v>138</v>
      </c>
      <c r="B139" s="22" t="s">
        <v>590</v>
      </c>
      <c r="C139" s="29" t="s">
        <v>646</v>
      </c>
      <c r="D139" s="23" t="s">
        <v>647</v>
      </c>
      <c r="E139" s="24" t="s">
        <v>648</v>
      </c>
      <c r="F139" s="23" t="s">
        <v>649</v>
      </c>
      <c r="G139" s="25" t="s">
        <v>26</v>
      </c>
      <c r="H139" s="26" t="s">
        <v>650</v>
      </c>
      <c r="I139" s="26"/>
      <c r="J139" s="26"/>
      <c r="K139" s="26">
        <v>3</v>
      </c>
      <c r="L139" s="26">
        <f t="shared" si="10"/>
        <v>0</v>
      </c>
      <c r="M139" s="26"/>
      <c r="N139" s="26" t="str">
        <f t="shared" si="11"/>
        <v/>
      </c>
      <c r="O139" s="26" t="str">
        <f t="shared" si="12"/>
        <v/>
      </c>
      <c r="P139" s="26">
        <f t="shared" si="13"/>
        <v>15</v>
      </c>
      <c r="Q139" s="26" t="str">
        <f t="shared" si="14"/>
        <v/>
      </c>
      <c r="R139" s="27"/>
      <c r="S139" s="27"/>
      <c r="T139" s="27" t="s">
        <v>28</v>
      </c>
      <c r="U139" s="28"/>
    </row>
    <row r="140" spans="1:21" ht="78.599999999999994" customHeight="1" x14ac:dyDescent="0.25">
      <c r="A140" s="21">
        <v>139</v>
      </c>
      <c r="B140" s="22" t="s">
        <v>590</v>
      </c>
      <c r="C140" s="29" t="s">
        <v>651</v>
      </c>
      <c r="D140" s="23" t="s">
        <v>652</v>
      </c>
      <c r="E140" s="24" t="s">
        <v>653</v>
      </c>
      <c r="F140" s="23" t="s">
        <v>654</v>
      </c>
      <c r="G140" s="25" t="s">
        <v>26</v>
      </c>
      <c r="H140" s="26" t="s">
        <v>655</v>
      </c>
      <c r="I140" s="26"/>
      <c r="J140" s="26"/>
      <c r="K140" s="26">
        <v>3</v>
      </c>
      <c r="L140" s="26">
        <f t="shared" si="10"/>
        <v>0</v>
      </c>
      <c r="M140" s="26"/>
      <c r="N140" s="26" t="str">
        <f t="shared" si="11"/>
        <v/>
      </c>
      <c r="O140" s="26" t="str">
        <f t="shared" si="12"/>
        <v/>
      </c>
      <c r="P140" s="26">
        <f t="shared" si="13"/>
        <v>15</v>
      </c>
      <c r="Q140" s="26" t="str">
        <f t="shared" si="14"/>
        <v/>
      </c>
      <c r="R140" s="27"/>
      <c r="S140" s="27"/>
      <c r="T140" s="27" t="s">
        <v>28</v>
      </c>
      <c r="U140" s="28"/>
    </row>
    <row r="141" spans="1:21" ht="75" customHeight="1" x14ac:dyDescent="0.25">
      <c r="A141" s="21">
        <v>140</v>
      </c>
      <c r="B141" s="22" t="s">
        <v>590</v>
      </c>
      <c r="C141" s="29" t="s">
        <v>656</v>
      </c>
      <c r="D141" s="23" t="s">
        <v>657</v>
      </c>
      <c r="E141" s="24" t="s">
        <v>658</v>
      </c>
      <c r="F141" s="23" t="s">
        <v>659</v>
      </c>
      <c r="G141" s="25" t="s">
        <v>26</v>
      </c>
      <c r="H141" s="26" t="s">
        <v>660</v>
      </c>
      <c r="I141" s="26"/>
      <c r="J141" s="26"/>
      <c r="K141" s="26">
        <v>2</v>
      </c>
      <c r="L141" s="26">
        <f t="shared" si="10"/>
        <v>0</v>
      </c>
      <c r="M141" s="26"/>
      <c r="N141" s="26" t="str">
        <f t="shared" si="11"/>
        <v/>
      </c>
      <c r="O141" s="26" t="str">
        <f t="shared" si="12"/>
        <v/>
      </c>
      <c r="P141" s="26">
        <f t="shared" si="13"/>
        <v>10</v>
      </c>
      <c r="Q141" s="26" t="str">
        <f t="shared" si="14"/>
        <v/>
      </c>
      <c r="R141" s="27"/>
      <c r="S141" s="27"/>
      <c r="T141" s="27" t="s">
        <v>28</v>
      </c>
      <c r="U141" s="28"/>
    </row>
    <row r="142" spans="1:21" ht="75" customHeight="1" x14ac:dyDescent="0.25">
      <c r="A142" s="21">
        <v>141</v>
      </c>
      <c r="B142" s="22" t="s">
        <v>590</v>
      </c>
      <c r="C142" s="29" t="s">
        <v>661</v>
      </c>
      <c r="D142" s="23" t="s">
        <v>662</v>
      </c>
      <c r="E142" s="24" t="s">
        <v>663</v>
      </c>
      <c r="F142" s="23" t="s">
        <v>664</v>
      </c>
      <c r="G142" s="25" t="s">
        <v>26</v>
      </c>
      <c r="H142" s="26" t="s">
        <v>665</v>
      </c>
      <c r="I142" s="26"/>
      <c r="J142" s="26"/>
      <c r="K142" s="26">
        <v>2</v>
      </c>
      <c r="L142" s="26">
        <f t="shared" si="10"/>
        <v>0</v>
      </c>
      <c r="M142" s="26"/>
      <c r="N142" s="26" t="str">
        <f t="shared" si="11"/>
        <v/>
      </c>
      <c r="O142" s="26" t="str">
        <f t="shared" si="12"/>
        <v/>
      </c>
      <c r="P142" s="26">
        <f t="shared" si="13"/>
        <v>10</v>
      </c>
      <c r="Q142" s="26" t="str">
        <f t="shared" si="14"/>
        <v/>
      </c>
      <c r="R142" s="27"/>
      <c r="S142" s="27"/>
      <c r="T142" s="27"/>
      <c r="U142" s="28"/>
    </row>
    <row r="143" spans="1:21" ht="75" customHeight="1" x14ac:dyDescent="0.25">
      <c r="A143" s="21">
        <v>142</v>
      </c>
      <c r="B143" s="22" t="s">
        <v>590</v>
      </c>
      <c r="C143" s="29" t="s">
        <v>666</v>
      </c>
      <c r="D143" s="23" t="s">
        <v>667</v>
      </c>
      <c r="E143" s="24" t="s">
        <v>668</v>
      </c>
      <c r="F143" s="23" t="s">
        <v>669</v>
      </c>
      <c r="G143" s="25" t="s">
        <v>26</v>
      </c>
      <c r="H143" s="26" t="s">
        <v>670</v>
      </c>
      <c r="I143" s="26"/>
      <c r="J143" s="26"/>
      <c r="K143" s="26">
        <v>4</v>
      </c>
      <c r="L143" s="26">
        <f t="shared" si="10"/>
        <v>0</v>
      </c>
      <c r="M143" s="26"/>
      <c r="N143" s="26" t="str">
        <f t="shared" si="11"/>
        <v/>
      </c>
      <c r="O143" s="26" t="str">
        <f t="shared" si="12"/>
        <v/>
      </c>
      <c r="P143" s="26">
        <f t="shared" si="13"/>
        <v>20</v>
      </c>
      <c r="Q143" s="26" t="str">
        <f t="shared" si="14"/>
        <v/>
      </c>
      <c r="R143" s="27"/>
      <c r="S143" s="27"/>
      <c r="T143" s="27" t="s">
        <v>28</v>
      </c>
      <c r="U143" s="28"/>
    </row>
    <row r="144" spans="1:21" ht="75" customHeight="1" x14ac:dyDescent="0.25">
      <c r="A144" s="21">
        <v>143</v>
      </c>
      <c r="B144" s="22" t="s">
        <v>590</v>
      </c>
      <c r="C144" s="29" t="s">
        <v>671</v>
      </c>
      <c r="D144" s="23" t="s">
        <v>672</v>
      </c>
      <c r="E144" s="24" t="s">
        <v>673</v>
      </c>
      <c r="F144" s="23" t="s">
        <v>674</v>
      </c>
      <c r="G144" s="25" t="s">
        <v>26</v>
      </c>
      <c r="H144" s="26" t="s">
        <v>675</v>
      </c>
      <c r="I144" s="26"/>
      <c r="J144" s="26"/>
      <c r="K144" s="26">
        <v>2</v>
      </c>
      <c r="L144" s="26">
        <f t="shared" si="10"/>
        <v>0</v>
      </c>
      <c r="M144" s="26"/>
      <c r="N144" s="26" t="str">
        <f t="shared" si="11"/>
        <v/>
      </c>
      <c r="O144" s="26" t="str">
        <f t="shared" si="12"/>
        <v/>
      </c>
      <c r="P144" s="26">
        <f t="shared" si="13"/>
        <v>10</v>
      </c>
      <c r="Q144" s="26" t="str">
        <f t="shared" si="14"/>
        <v/>
      </c>
      <c r="R144" s="27"/>
      <c r="S144" s="27"/>
      <c r="T144" s="27" t="s">
        <v>28</v>
      </c>
      <c r="U144" s="28"/>
    </row>
    <row r="145" spans="1:21" ht="75" customHeight="1" x14ac:dyDescent="0.25">
      <c r="A145" s="21">
        <v>144</v>
      </c>
      <c r="B145" s="22" t="s">
        <v>590</v>
      </c>
      <c r="C145" s="6" t="s">
        <v>676</v>
      </c>
      <c r="D145" s="23" t="s">
        <v>677</v>
      </c>
      <c r="E145" s="24" t="s">
        <v>678</v>
      </c>
      <c r="F145" s="23" t="s">
        <v>679</v>
      </c>
      <c r="G145" s="25" t="s">
        <v>26</v>
      </c>
      <c r="H145" s="26" t="s">
        <v>680</v>
      </c>
      <c r="I145" s="26"/>
      <c r="J145" s="26"/>
      <c r="K145" s="26">
        <v>4</v>
      </c>
      <c r="L145" s="26">
        <f t="shared" si="10"/>
        <v>0</v>
      </c>
      <c r="M145" s="26"/>
      <c r="N145" s="26" t="str">
        <f t="shared" si="11"/>
        <v/>
      </c>
      <c r="O145" s="26" t="str">
        <f t="shared" si="12"/>
        <v/>
      </c>
      <c r="P145" s="26">
        <f t="shared" si="13"/>
        <v>20</v>
      </c>
      <c r="Q145" s="26" t="str">
        <f t="shared" si="14"/>
        <v/>
      </c>
      <c r="R145" s="27"/>
      <c r="S145" s="27" t="s">
        <v>28</v>
      </c>
      <c r="T145" s="27" t="s">
        <v>28</v>
      </c>
      <c r="U145" s="28"/>
    </row>
    <row r="146" spans="1:21" ht="60" customHeight="1" x14ac:dyDescent="0.25">
      <c r="A146" s="21">
        <v>145</v>
      </c>
      <c r="B146" s="22" t="s">
        <v>590</v>
      </c>
      <c r="C146" s="29" t="s">
        <v>681</v>
      </c>
      <c r="D146" s="23" t="s">
        <v>682</v>
      </c>
      <c r="E146" s="24" t="s">
        <v>683</v>
      </c>
      <c r="F146" s="23" t="s">
        <v>684</v>
      </c>
      <c r="G146" s="25" t="s">
        <v>26</v>
      </c>
      <c r="H146" s="26" t="s">
        <v>685</v>
      </c>
      <c r="I146" s="26"/>
      <c r="J146" s="26"/>
      <c r="K146" s="26">
        <v>4</v>
      </c>
      <c r="L146" s="26">
        <f t="shared" si="10"/>
        <v>0</v>
      </c>
      <c r="M146" s="26"/>
      <c r="N146" s="26" t="str">
        <f t="shared" si="11"/>
        <v/>
      </c>
      <c r="O146" s="26" t="str">
        <f t="shared" si="12"/>
        <v/>
      </c>
      <c r="P146" s="26">
        <f t="shared" si="13"/>
        <v>20</v>
      </c>
      <c r="Q146" s="26" t="str">
        <f t="shared" si="14"/>
        <v/>
      </c>
      <c r="R146" s="27"/>
      <c r="S146" s="27"/>
      <c r="T146" s="27" t="s">
        <v>28</v>
      </c>
      <c r="U146" s="28"/>
    </row>
    <row r="147" spans="1:21" ht="75" customHeight="1" x14ac:dyDescent="0.25">
      <c r="A147" s="21">
        <v>146</v>
      </c>
      <c r="B147" s="22" t="s">
        <v>590</v>
      </c>
      <c r="C147" s="6" t="s">
        <v>686</v>
      </c>
      <c r="D147" s="23" t="s">
        <v>687</v>
      </c>
      <c r="E147" s="24" t="s">
        <v>688</v>
      </c>
      <c r="F147" s="23" t="s">
        <v>689</v>
      </c>
      <c r="G147" s="25" t="s">
        <v>26</v>
      </c>
      <c r="H147" s="26" t="s">
        <v>690</v>
      </c>
      <c r="I147" s="26"/>
      <c r="J147" s="26"/>
      <c r="K147" s="26">
        <v>4</v>
      </c>
      <c r="L147" s="26">
        <f t="shared" si="10"/>
        <v>0</v>
      </c>
      <c r="M147" s="26"/>
      <c r="N147" s="26" t="str">
        <f t="shared" si="11"/>
        <v/>
      </c>
      <c r="O147" s="26" t="str">
        <f t="shared" si="12"/>
        <v/>
      </c>
      <c r="P147" s="26">
        <f t="shared" si="13"/>
        <v>20</v>
      </c>
      <c r="Q147" s="26" t="str">
        <f t="shared" si="14"/>
        <v/>
      </c>
      <c r="R147" s="27" t="s">
        <v>28</v>
      </c>
      <c r="S147" s="27" t="s">
        <v>28</v>
      </c>
      <c r="T147" s="27" t="s">
        <v>28</v>
      </c>
      <c r="U147" s="28" t="s">
        <v>28</v>
      </c>
    </row>
    <row r="148" spans="1:21" ht="60" customHeight="1" x14ac:dyDescent="0.25">
      <c r="A148" s="21">
        <v>147</v>
      </c>
      <c r="B148" s="22" t="s">
        <v>590</v>
      </c>
      <c r="C148" s="6" t="s">
        <v>691</v>
      </c>
      <c r="D148" s="23" t="s">
        <v>692</v>
      </c>
      <c r="E148" s="24" t="s">
        <v>693</v>
      </c>
      <c r="F148" s="23" t="s">
        <v>694</v>
      </c>
      <c r="G148" s="25" t="s">
        <v>26</v>
      </c>
      <c r="H148" s="26" t="s">
        <v>695</v>
      </c>
      <c r="I148" s="26"/>
      <c r="J148" s="26"/>
      <c r="K148" s="26">
        <v>3</v>
      </c>
      <c r="L148" s="26">
        <f t="shared" si="10"/>
        <v>0</v>
      </c>
      <c r="M148" s="26"/>
      <c r="N148" s="26" t="str">
        <f t="shared" si="11"/>
        <v/>
      </c>
      <c r="O148" s="26" t="str">
        <f t="shared" si="12"/>
        <v/>
      </c>
      <c r="P148" s="26">
        <f t="shared" si="13"/>
        <v>15</v>
      </c>
      <c r="Q148" s="26" t="str">
        <f t="shared" si="14"/>
        <v/>
      </c>
      <c r="R148" s="27"/>
      <c r="S148" s="27" t="s">
        <v>28</v>
      </c>
      <c r="T148" s="27" t="s">
        <v>28</v>
      </c>
      <c r="U148" s="28"/>
    </row>
    <row r="149" spans="1:21" ht="60" customHeight="1" x14ac:dyDescent="0.25">
      <c r="A149" s="21">
        <v>148</v>
      </c>
      <c r="B149" s="22" t="s">
        <v>590</v>
      </c>
      <c r="C149" s="6" t="s">
        <v>696</v>
      </c>
      <c r="D149" s="23" t="s">
        <v>682</v>
      </c>
      <c r="E149" s="24" t="s">
        <v>683</v>
      </c>
      <c r="F149" s="23" t="s">
        <v>684</v>
      </c>
      <c r="G149" s="25" t="s">
        <v>26</v>
      </c>
      <c r="H149" s="26" t="s">
        <v>697</v>
      </c>
      <c r="I149" s="26"/>
      <c r="J149" s="26"/>
      <c r="K149" s="26">
        <v>4</v>
      </c>
      <c r="L149" s="26">
        <f t="shared" si="10"/>
        <v>0</v>
      </c>
      <c r="M149" s="26"/>
      <c r="N149" s="26" t="str">
        <f t="shared" si="11"/>
        <v/>
      </c>
      <c r="O149" s="26" t="str">
        <f t="shared" si="12"/>
        <v/>
      </c>
      <c r="P149" s="26">
        <f t="shared" si="13"/>
        <v>20</v>
      </c>
      <c r="Q149" s="26" t="str">
        <f t="shared" si="14"/>
        <v/>
      </c>
      <c r="R149" s="27"/>
      <c r="S149" s="27" t="s">
        <v>28</v>
      </c>
      <c r="T149" s="27"/>
      <c r="U149" s="28"/>
    </row>
    <row r="150" spans="1:21" ht="60" customHeight="1" x14ac:dyDescent="0.25">
      <c r="A150" s="21">
        <v>149</v>
      </c>
      <c r="B150" s="22" t="s">
        <v>590</v>
      </c>
      <c r="C150" s="6" t="s">
        <v>698</v>
      </c>
      <c r="D150" s="23" t="s">
        <v>687</v>
      </c>
      <c r="E150" s="24" t="s">
        <v>688</v>
      </c>
      <c r="F150" s="23" t="s">
        <v>689</v>
      </c>
      <c r="G150" s="25" t="s">
        <v>26</v>
      </c>
      <c r="H150" s="26" t="s">
        <v>699</v>
      </c>
      <c r="I150" s="26"/>
      <c r="J150" s="26"/>
      <c r="K150" s="26">
        <v>4</v>
      </c>
      <c r="L150" s="26">
        <f t="shared" si="10"/>
        <v>0</v>
      </c>
      <c r="M150" s="26"/>
      <c r="N150" s="26" t="str">
        <f t="shared" si="11"/>
        <v/>
      </c>
      <c r="O150" s="26" t="str">
        <f t="shared" si="12"/>
        <v/>
      </c>
      <c r="P150" s="26">
        <f t="shared" si="13"/>
        <v>20</v>
      </c>
      <c r="Q150" s="26" t="str">
        <f t="shared" si="14"/>
        <v/>
      </c>
      <c r="R150" s="27" t="s">
        <v>28</v>
      </c>
      <c r="S150" s="27" t="s">
        <v>28</v>
      </c>
      <c r="T150" s="27" t="s">
        <v>28</v>
      </c>
      <c r="U150" s="28" t="s">
        <v>28</v>
      </c>
    </row>
    <row r="151" spans="1:21" ht="45" customHeight="1" x14ac:dyDescent="0.25">
      <c r="A151" s="21">
        <v>150</v>
      </c>
      <c r="B151" s="22" t="s">
        <v>590</v>
      </c>
      <c r="C151" s="43" t="s">
        <v>700</v>
      </c>
      <c r="D151" s="23" t="s">
        <v>701</v>
      </c>
      <c r="E151" s="32" t="s">
        <v>702</v>
      </c>
      <c r="F151" s="23" t="s">
        <v>703</v>
      </c>
      <c r="G151" s="25" t="s">
        <v>26</v>
      </c>
      <c r="H151" s="26" t="s">
        <v>704</v>
      </c>
      <c r="I151" s="26"/>
      <c r="J151" s="26"/>
      <c r="K151" s="26">
        <v>4</v>
      </c>
      <c r="L151" s="26">
        <f t="shared" si="10"/>
        <v>0</v>
      </c>
      <c r="M151" s="26"/>
      <c r="N151" s="26" t="str">
        <f t="shared" si="11"/>
        <v/>
      </c>
      <c r="O151" s="26" t="str">
        <f t="shared" si="12"/>
        <v/>
      </c>
      <c r="P151" s="26">
        <f t="shared" si="13"/>
        <v>20</v>
      </c>
      <c r="Q151" s="26" t="str">
        <f t="shared" si="14"/>
        <v/>
      </c>
      <c r="R151" s="33" t="s">
        <v>28</v>
      </c>
      <c r="S151" s="33" t="s">
        <v>28</v>
      </c>
      <c r="T151" s="33" t="s">
        <v>28</v>
      </c>
      <c r="U151" s="34"/>
    </row>
    <row r="152" spans="1:21" ht="60" customHeight="1" x14ac:dyDescent="0.25">
      <c r="A152" s="21">
        <v>151</v>
      </c>
      <c r="B152" s="22" t="s">
        <v>590</v>
      </c>
      <c r="C152" s="43" t="s">
        <v>705</v>
      </c>
      <c r="D152" s="23" t="s">
        <v>706</v>
      </c>
      <c r="E152" s="32" t="s">
        <v>707</v>
      </c>
      <c r="F152" s="23" t="s">
        <v>708</v>
      </c>
      <c r="G152" s="25" t="s">
        <v>26</v>
      </c>
      <c r="H152" s="26" t="s">
        <v>709</v>
      </c>
      <c r="I152" s="26"/>
      <c r="J152" s="26"/>
      <c r="K152" s="26">
        <v>5</v>
      </c>
      <c r="L152" s="26">
        <f t="shared" si="10"/>
        <v>0</v>
      </c>
      <c r="M152" s="26"/>
      <c r="N152" s="26" t="str">
        <f t="shared" si="11"/>
        <v/>
      </c>
      <c r="O152" s="26" t="str">
        <f t="shared" si="12"/>
        <v/>
      </c>
      <c r="P152" s="26">
        <f t="shared" si="13"/>
        <v>25</v>
      </c>
      <c r="Q152" s="26" t="str">
        <f t="shared" si="14"/>
        <v/>
      </c>
      <c r="R152" s="33" t="s">
        <v>28</v>
      </c>
      <c r="S152" s="33" t="s">
        <v>28</v>
      </c>
      <c r="T152" s="33" t="s">
        <v>28</v>
      </c>
      <c r="U152" s="34" t="s">
        <v>28</v>
      </c>
    </row>
    <row r="153" spans="1:21" ht="28.9" customHeight="1" x14ac:dyDescent="0.25">
      <c r="A153" s="21">
        <v>152</v>
      </c>
      <c r="B153" s="22" t="s">
        <v>590</v>
      </c>
      <c r="C153" s="43" t="s">
        <v>710</v>
      </c>
      <c r="D153" s="23" t="s">
        <v>711</v>
      </c>
      <c r="E153" s="32" t="s">
        <v>712</v>
      </c>
      <c r="F153" s="23" t="s">
        <v>713</v>
      </c>
      <c r="G153" s="25" t="s">
        <v>26</v>
      </c>
      <c r="H153" s="26" t="s">
        <v>714</v>
      </c>
      <c r="I153" s="26"/>
      <c r="J153" s="26"/>
      <c r="K153" s="26">
        <v>3</v>
      </c>
      <c r="L153" s="26">
        <f t="shared" si="10"/>
        <v>0</v>
      </c>
      <c r="M153" s="26"/>
      <c r="N153" s="26" t="str">
        <f t="shared" si="11"/>
        <v/>
      </c>
      <c r="O153" s="26" t="str">
        <f t="shared" si="12"/>
        <v/>
      </c>
      <c r="P153" s="26">
        <f t="shared" si="13"/>
        <v>15</v>
      </c>
      <c r="Q153" s="26" t="str">
        <f t="shared" si="14"/>
        <v/>
      </c>
      <c r="R153" s="33"/>
      <c r="S153" s="33"/>
      <c r="T153" s="33" t="s">
        <v>28</v>
      </c>
      <c r="U153" s="34"/>
    </row>
    <row r="154" spans="1:21" ht="43.15" customHeight="1" x14ac:dyDescent="0.25">
      <c r="A154" s="21">
        <v>153</v>
      </c>
      <c r="B154" s="22" t="s">
        <v>590</v>
      </c>
      <c r="C154" s="43" t="s">
        <v>715</v>
      </c>
      <c r="D154" s="23" t="s">
        <v>716</v>
      </c>
      <c r="E154" s="32" t="s">
        <v>717</v>
      </c>
      <c r="F154" s="23" t="s">
        <v>718</v>
      </c>
      <c r="G154" s="25" t="s">
        <v>26</v>
      </c>
      <c r="H154" s="26" t="s">
        <v>719</v>
      </c>
      <c r="I154" s="26"/>
      <c r="J154" s="26"/>
      <c r="K154" s="26">
        <v>3</v>
      </c>
      <c r="L154" s="26">
        <f t="shared" si="10"/>
        <v>0</v>
      </c>
      <c r="M154" s="26"/>
      <c r="N154" s="26" t="str">
        <f t="shared" si="11"/>
        <v/>
      </c>
      <c r="O154" s="26" t="str">
        <f t="shared" si="12"/>
        <v/>
      </c>
      <c r="P154" s="26">
        <f t="shared" si="13"/>
        <v>15</v>
      </c>
      <c r="Q154" s="26" t="str">
        <f t="shared" si="14"/>
        <v/>
      </c>
      <c r="R154" s="33"/>
      <c r="S154" s="33" t="s">
        <v>28</v>
      </c>
      <c r="T154" s="33" t="s">
        <v>28</v>
      </c>
      <c r="U154" s="34"/>
    </row>
    <row r="155" spans="1:21" ht="28.9" customHeight="1" x14ac:dyDescent="0.25">
      <c r="A155" s="21">
        <v>154</v>
      </c>
      <c r="B155" s="22" t="s">
        <v>590</v>
      </c>
      <c r="C155" s="43" t="s">
        <v>720</v>
      </c>
      <c r="D155" s="23" t="s">
        <v>721</v>
      </c>
      <c r="E155" s="32" t="s">
        <v>722</v>
      </c>
      <c r="F155" s="23" t="s">
        <v>723</v>
      </c>
      <c r="G155" s="25" t="s">
        <v>26</v>
      </c>
      <c r="H155" s="26" t="s">
        <v>724</v>
      </c>
      <c r="I155" s="26"/>
      <c r="J155" s="26"/>
      <c r="K155" s="26">
        <v>3</v>
      </c>
      <c r="L155" s="26">
        <f t="shared" si="10"/>
        <v>0</v>
      </c>
      <c r="M155" s="26"/>
      <c r="N155" s="26" t="str">
        <f t="shared" si="11"/>
        <v/>
      </c>
      <c r="O155" s="26" t="str">
        <f t="shared" si="12"/>
        <v/>
      </c>
      <c r="P155" s="26">
        <f t="shared" si="13"/>
        <v>15</v>
      </c>
      <c r="Q155" s="26" t="str">
        <f t="shared" si="14"/>
        <v/>
      </c>
      <c r="R155" s="33"/>
      <c r="S155" s="33" t="s">
        <v>28</v>
      </c>
      <c r="T155" s="33"/>
      <c r="U155" s="34"/>
    </row>
    <row r="156" spans="1:21" ht="43.15" customHeight="1" x14ac:dyDescent="0.25">
      <c r="A156" s="21">
        <v>155</v>
      </c>
      <c r="B156" s="22" t="s">
        <v>590</v>
      </c>
      <c r="C156" s="43" t="s">
        <v>725</v>
      </c>
      <c r="D156" s="23" t="s">
        <v>726</v>
      </c>
      <c r="E156" s="32" t="s">
        <v>727</v>
      </c>
      <c r="F156" s="23" t="s">
        <v>728</v>
      </c>
      <c r="G156" s="25" t="s">
        <v>26</v>
      </c>
      <c r="H156" s="26" t="s">
        <v>729</v>
      </c>
      <c r="I156" s="26"/>
      <c r="J156" s="26"/>
      <c r="K156" s="26">
        <v>4</v>
      </c>
      <c r="L156" s="26">
        <f t="shared" si="10"/>
        <v>0</v>
      </c>
      <c r="M156" s="26"/>
      <c r="N156" s="26" t="str">
        <f t="shared" si="11"/>
        <v/>
      </c>
      <c r="O156" s="26" t="str">
        <f t="shared" si="12"/>
        <v/>
      </c>
      <c r="P156" s="26">
        <f t="shared" si="13"/>
        <v>20</v>
      </c>
      <c r="Q156" s="26" t="str">
        <f t="shared" si="14"/>
        <v/>
      </c>
      <c r="R156" s="33"/>
      <c r="S156" s="33"/>
      <c r="T156" s="33" t="s">
        <v>28</v>
      </c>
      <c r="U156" s="34"/>
    </row>
    <row r="157" spans="1:21" ht="28.9" customHeight="1" x14ac:dyDescent="0.25">
      <c r="A157" s="21">
        <v>156</v>
      </c>
      <c r="B157" s="22" t="s">
        <v>590</v>
      </c>
      <c r="C157" s="43" t="s">
        <v>730</v>
      </c>
      <c r="D157" s="23" t="s">
        <v>731</v>
      </c>
      <c r="E157" s="32" t="s">
        <v>732</v>
      </c>
      <c r="F157" s="23" t="s">
        <v>733</v>
      </c>
      <c r="G157" s="25" t="s">
        <v>26</v>
      </c>
      <c r="H157" s="26" t="s">
        <v>734</v>
      </c>
      <c r="I157" s="26"/>
      <c r="J157" s="26"/>
      <c r="K157" s="26">
        <v>3</v>
      </c>
      <c r="L157" s="26">
        <f t="shared" si="10"/>
        <v>0</v>
      </c>
      <c r="M157" s="26"/>
      <c r="N157" s="26" t="str">
        <f t="shared" si="11"/>
        <v/>
      </c>
      <c r="O157" s="26" t="str">
        <f t="shared" si="12"/>
        <v/>
      </c>
      <c r="P157" s="26">
        <f t="shared" si="13"/>
        <v>15</v>
      </c>
      <c r="Q157" s="26" t="str">
        <f t="shared" si="14"/>
        <v/>
      </c>
      <c r="R157" s="33"/>
      <c r="S157" s="33" t="s">
        <v>28</v>
      </c>
      <c r="T157" s="33" t="s">
        <v>28</v>
      </c>
      <c r="U157" s="34"/>
    </row>
    <row r="158" spans="1:21" ht="28.9" customHeight="1" x14ac:dyDescent="0.25">
      <c r="A158" s="21">
        <v>157</v>
      </c>
      <c r="B158" s="22" t="s">
        <v>590</v>
      </c>
      <c r="C158" s="43" t="s">
        <v>735</v>
      </c>
      <c r="D158" s="23" t="s">
        <v>736</v>
      </c>
      <c r="E158" s="32" t="s">
        <v>737</v>
      </c>
      <c r="F158" s="23" t="s">
        <v>738</v>
      </c>
      <c r="G158" s="25" t="s">
        <v>26</v>
      </c>
      <c r="H158" s="26" t="s">
        <v>739</v>
      </c>
      <c r="I158" s="26"/>
      <c r="J158" s="26"/>
      <c r="K158" s="26">
        <v>4</v>
      </c>
      <c r="L158" s="26">
        <f t="shared" si="10"/>
        <v>0</v>
      </c>
      <c r="M158" s="26"/>
      <c r="N158" s="26" t="str">
        <f t="shared" si="11"/>
        <v/>
      </c>
      <c r="O158" s="26" t="str">
        <f t="shared" si="12"/>
        <v/>
      </c>
      <c r="P158" s="26">
        <f t="shared" si="13"/>
        <v>20</v>
      </c>
      <c r="Q158" s="26" t="str">
        <f t="shared" si="14"/>
        <v/>
      </c>
      <c r="R158" s="33" t="s">
        <v>28</v>
      </c>
      <c r="S158" s="33" t="s">
        <v>28</v>
      </c>
      <c r="T158" s="33" t="s">
        <v>28</v>
      </c>
      <c r="U158" s="34" t="s">
        <v>28</v>
      </c>
    </row>
    <row r="159" spans="1:21" ht="43.15" customHeight="1" x14ac:dyDescent="0.25">
      <c r="A159" s="21">
        <v>158</v>
      </c>
      <c r="B159" s="22" t="s">
        <v>590</v>
      </c>
      <c r="C159" s="43" t="s">
        <v>740</v>
      </c>
      <c r="D159" s="23" t="s">
        <v>741</v>
      </c>
      <c r="E159" s="32" t="s">
        <v>742</v>
      </c>
      <c r="F159" s="23" t="s">
        <v>743</v>
      </c>
      <c r="G159" s="25" t="s">
        <v>26</v>
      </c>
      <c r="H159" s="26" t="s">
        <v>744</v>
      </c>
      <c r="I159" s="26"/>
      <c r="J159" s="26"/>
      <c r="K159" s="26">
        <v>3</v>
      </c>
      <c r="L159" s="26">
        <f t="shared" si="10"/>
        <v>0</v>
      </c>
      <c r="M159" s="26"/>
      <c r="N159" s="26" t="str">
        <f t="shared" si="11"/>
        <v/>
      </c>
      <c r="O159" s="26" t="str">
        <f t="shared" si="12"/>
        <v/>
      </c>
      <c r="P159" s="26">
        <f t="shared" si="13"/>
        <v>15</v>
      </c>
      <c r="Q159" s="26" t="str">
        <f t="shared" si="14"/>
        <v/>
      </c>
      <c r="R159" s="33" t="s">
        <v>28</v>
      </c>
      <c r="S159" s="33" t="s">
        <v>28</v>
      </c>
      <c r="T159" s="33" t="s">
        <v>28</v>
      </c>
      <c r="U159" s="34"/>
    </row>
    <row r="160" spans="1:21" ht="90" customHeight="1" x14ac:dyDescent="0.25">
      <c r="A160" s="21">
        <v>159</v>
      </c>
      <c r="B160" s="22" t="s">
        <v>590</v>
      </c>
      <c r="C160" s="43" t="s">
        <v>745</v>
      </c>
      <c r="D160" s="23" t="s">
        <v>746</v>
      </c>
      <c r="E160" s="32" t="s">
        <v>747</v>
      </c>
      <c r="F160" s="23" t="s">
        <v>748</v>
      </c>
      <c r="G160" s="25" t="s">
        <v>26</v>
      </c>
      <c r="H160" s="26" t="s">
        <v>749</v>
      </c>
      <c r="I160" s="26"/>
      <c r="J160" s="26"/>
      <c r="K160" s="26">
        <v>3</v>
      </c>
      <c r="L160" s="26">
        <f t="shared" si="10"/>
        <v>0</v>
      </c>
      <c r="M160" s="26"/>
      <c r="N160" s="26" t="str">
        <f t="shared" si="11"/>
        <v/>
      </c>
      <c r="O160" s="26" t="str">
        <f t="shared" si="12"/>
        <v/>
      </c>
      <c r="P160" s="26">
        <f t="shared" si="13"/>
        <v>15</v>
      </c>
      <c r="Q160" s="26" t="str">
        <f t="shared" si="14"/>
        <v/>
      </c>
      <c r="R160" s="33"/>
      <c r="S160" s="33"/>
      <c r="T160" s="33" t="s">
        <v>28</v>
      </c>
      <c r="U160" s="34"/>
    </row>
    <row r="161" spans="1:21" ht="72" customHeight="1" x14ac:dyDescent="0.25">
      <c r="A161" s="21">
        <v>160</v>
      </c>
      <c r="B161" s="22" t="s">
        <v>750</v>
      </c>
      <c r="C161" s="6" t="s">
        <v>751</v>
      </c>
      <c r="D161" s="23" t="s">
        <v>752</v>
      </c>
      <c r="E161" s="24" t="s">
        <v>753</v>
      </c>
      <c r="F161" s="23" t="s">
        <v>754</v>
      </c>
      <c r="G161" s="25" t="s">
        <v>26</v>
      </c>
      <c r="H161" s="26" t="s">
        <v>755</v>
      </c>
      <c r="I161" s="26"/>
      <c r="J161" s="26"/>
      <c r="K161" s="26">
        <v>5</v>
      </c>
      <c r="L161" s="26">
        <f t="shared" si="10"/>
        <v>0</v>
      </c>
      <c r="M161" s="26"/>
      <c r="N161" s="26" t="str">
        <f t="shared" si="11"/>
        <v/>
      </c>
      <c r="O161" s="26" t="str">
        <f t="shared" si="12"/>
        <v/>
      </c>
      <c r="P161" s="26">
        <f t="shared" si="13"/>
        <v>25</v>
      </c>
      <c r="Q161" s="26" t="str">
        <f t="shared" si="14"/>
        <v/>
      </c>
      <c r="R161" s="27"/>
      <c r="S161" s="27" t="s">
        <v>28</v>
      </c>
      <c r="T161" s="27" t="s">
        <v>28</v>
      </c>
      <c r="U161" s="28"/>
    </row>
    <row r="162" spans="1:21" ht="90" customHeight="1" x14ac:dyDescent="0.25">
      <c r="A162" s="21">
        <v>161</v>
      </c>
      <c r="B162" s="22" t="s">
        <v>750</v>
      </c>
      <c r="C162" s="6" t="s">
        <v>756</v>
      </c>
      <c r="D162" s="23" t="s">
        <v>757</v>
      </c>
      <c r="E162" s="24" t="s">
        <v>758</v>
      </c>
      <c r="F162" s="23" t="s">
        <v>759</v>
      </c>
      <c r="G162" s="25" t="s">
        <v>26</v>
      </c>
      <c r="H162" s="26" t="s">
        <v>760</v>
      </c>
      <c r="I162" s="26"/>
      <c r="J162" s="26"/>
      <c r="K162" s="26">
        <v>4</v>
      </c>
      <c r="L162" s="26">
        <f t="shared" si="10"/>
        <v>0</v>
      </c>
      <c r="M162" s="26"/>
      <c r="N162" s="26" t="str">
        <f t="shared" si="11"/>
        <v/>
      </c>
      <c r="O162" s="26" t="str">
        <f t="shared" si="12"/>
        <v/>
      </c>
      <c r="P162" s="26">
        <f t="shared" si="13"/>
        <v>20</v>
      </c>
      <c r="Q162" s="26" t="str">
        <f t="shared" si="14"/>
        <v/>
      </c>
      <c r="R162" s="27" t="s">
        <v>28</v>
      </c>
      <c r="S162" s="27" t="s">
        <v>28</v>
      </c>
      <c r="T162" s="27"/>
      <c r="U162" s="28" t="s">
        <v>28</v>
      </c>
    </row>
    <row r="163" spans="1:21" ht="90" customHeight="1" x14ac:dyDescent="0.25">
      <c r="A163" s="21">
        <v>162</v>
      </c>
      <c r="B163" s="7" t="s">
        <v>750</v>
      </c>
      <c r="C163" s="29" t="s">
        <v>761</v>
      </c>
      <c r="D163" s="8" t="s">
        <v>762</v>
      </c>
      <c r="E163" s="9" t="s">
        <v>763</v>
      </c>
      <c r="F163" s="8" t="s">
        <v>764</v>
      </c>
      <c r="G163" s="25" t="s">
        <v>26</v>
      </c>
      <c r="H163" s="26" t="s">
        <v>765</v>
      </c>
      <c r="I163" s="26"/>
      <c r="J163" s="26"/>
      <c r="K163" s="26">
        <v>4</v>
      </c>
      <c r="L163" s="26">
        <f t="shared" si="10"/>
        <v>0</v>
      </c>
      <c r="M163" s="26"/>
      <c r="N163" s="26" t="str">
        <f t="shared" si="11"/>
        <v/>
      </c>
      <c r="O163" s="26" t="str">
        <f t="shared" si="12"/>
        <v/>
      </c>
      <c r="P163" s="26">
        <f t="shared" si="13"/>
        <v>20</v>
      </c>
      <c r="Q163" s="26" t="str">
        <f t="shared" si="14"/>
        <v/>
      </c>
      <c r="R163" s="10" t="s">
        <v>28</v>
      </c>
      <c r="S163" s="10" t="s">
        <v>28</v>
      </c>
      <c r="T163" s="10" t="s">
        <v>28</v>
      </c>
      <c r="U163" s="11"/>
    </row>
    <row r="164" spans="1:21" ht="90" customHeight="1" x14ac:dyDescent="0.25">
      <c r="A164" s="21">
        <v>163</v>
      </c>
      <c r="B164" s="22" t="s">
        <v>750</v>
      </c>
      <c r="C164" s="29" t="s">
        <v>766</v>
      </c>
      <c r="D164" s="23" t="s">
        <v>767</v>
      </c>
      <c r="E164" s="24" t="s">
        <v>768</v>
      </c>
      <c r="F164" s="23" t="s">
        <v>769</v>
      </c>
      <c r="G164" s="25" t="s">
        <v>26</v>
      </c>
      <c r="H164" s="26" t="s">
        <v>770</v>
      </c>
      <c r="I164" s="26"/>
      <c r="J164" s="26"/>
      <c r="K164" s="26">
        <v>4</v>
      </c>
      <c r="L164" s="26">
        <f t="shared" si="10"/>
        <v>0</v>
      </c>
      <c r="M164" s="26"/>
      <c r="N164" s="26" t="str">
        <f t="shared" si="11"/>
        <v/>
      </c>
      <c r="O164" s="26" t="str">
        <f t="shared" si="12"/>
        <v/>
      </c>
      <c r="P164" s="26">
        <f t="shared" si="13"/>
        <v>20</v>
      </c>
      <c r="Q164" s="26" t="str">
        <f t="shared" si="14"/>
        <v/>
      </c>
      <c r="R164" s="27"/>
      <c r="S164" s="27" t="s">
        <v>28</v>
      </c>
      <c r="T164" s="27" t="s">
        <v>28</v>
      </c>
      <c r="U164" s="28"/>
    </row>
    <row r="165" spans="1:21" ht="90" customHeight="1" x14ac:dyDescent="0.25">
      <c r="A165" s="21">
        <v>164</v>
      </c>
      <c r="B165" s="22" t="s">
        <v>750</v>
      </c>
      <c r="C165" s="29" t="s">
        <v>771</v>
      </c>
      <c r="D165" s="23" t="s">
        <v>772</v>
      </c>
      <c r="E165" s="24" t="s">
        <v>773</v>
      </c>
      <c r="F165" s="23" t="s">
        <v>774</v>
      </c>
      <c r="G165" s="25" t="s">
        <v>26</v>
      </c>
      <c r="H165" s="26" t="s">
        <v>775</v>
      </c>
      <c r="I165" s="26"/>
      <c r="J165" s="26"/>
      <c r="K165" s="26">
        <v>5</v>
      </c>
      <c r="L165" s="26">
        <f t="shared" si="10"/>
        <v>0</v>
      </c>
      <c r="M165" s="26"/>
      <c r="N165" s="26" t="str">
        <f t="shared" si="11"/>
        <v/>
      </c>
      <c r="O165" s="26" t="str">
        <f t="shared" si="12"/>
        <v/>
      </c>
      <c r="P165" s="26">
        <f t="shared" si="13"/>
        <v>25</v>
      </c>
      <c r="Q165" s="26" t="str">
        <f t="shared" si="14"/>
        <v/>
      </c>
      <c r="R165" s="27"/>
      <c r="S165" s="27"/>
      <c r="T165" s="27" t="s">
        <v>28</v>
      </c>
      <c r="U165" s="28"/>
    </row>
    <row r="166" spans="1:21" ht="90" customHeight="1" x14ac:dyDescent="0.25">
      <c r="A166" s="21">
        <v>165</v>
      </c>
      <c r="B166" s="22" t="s">
        <v>750</v>
      </c>
      <c r="C166" s="29" t="s">
        <v>776</v>
      </c>
      <c r="D166" s="23" t="s">
        <v>777</v>
      </c>
      <c r="E166" s="24" t="s">
        <v>778</v>
      </c>
      <c r="F166" s="23" t="s">
        <v>779</v>
      </c>
      <c r="G166" s="25" t="s">
        <v>26</v>
      </c>
      <c r="H166" s="26" t="s">
        <v>780</v>
      </c>
      <c r="I166" s="26"/>
      <c r="J166" s="26"/>
      <c r="K166" s="26">
        <v>5</v>
      </c>
      <c r="L166" s="26">
        <f t="shared" si="10"/>
        <v>0</v>
      </c>
      <c r="M166" s="26"/>
      <c r="N166" s="26" t="str">
        <f t="shared" si="11"/>
        <v/>
      </c>
      <c r="O166" s="26" t="str">
        <f t="shared" si="12"/>
        <v/>
      </c>
      <c r="P166" s="26">
        <f t="shared" si="13"/>
        <v>25</v>
      </c>
      <c r="Q166" s="26" t="str">
        <f t="shared" si="14"/>
        <v/>
      </c>
      <c r="R166" s="27"/>
      <c r="S166" s="27"/>
      <c r="T166" s="27"/>
      <c r="U166" s="28"/>
    </row>
    <row r="167" spans="1:21" ht="86.45" customHeight="1" x14ac:dyDescent="0.25">
      <c r="A167" s="21">
        <v>166</v>
      </c>
      <c r="B167" s="22" t="s">
        <v>750</v>
      </c>
      <c r="C167" s="29" t="s">
        <v>781</v>
      </c>
      <c r="D167" s="23" t="s">
        <v>782</v>
      </c>
      <c r="E167" s="24" t="s">
        <v>783</v>
      </c>
      <c r="F167" s="23" t="s">
        <v>784</v>
      </c>
      <c r="G167" s="25" t="s">
        <v>26</v>
      </c>
      <c r="H167" s="26" t="s">
        <v>785</v>
      </c>
      <c r="I167" s="26"/>
      <c r="J167" s="26"/>
      <c r="K167" s="26">
        <v>5</v>
      </c>
      <c r="L167" s="26">
        <f t="shared" si="10"/>
        <v>0</v>
      </c>
      <c r="M167" s="26"/>
      <c r="N167" s="26" t="str">
        <f t="shared" si="11"/>
        <v/>
      </c>
      <c r="O167" s="26" t="str">
        <f t="shared" si="12"/>
        <v/>
      </c>
      <c r="P167" s="26">
        <f t="shared" si="13"/>
        <v>25</v>
      </c>
      <c r="Q167" s="26" t="str">
        <f t="shared" si="14"/>
        <v/>
      </c>
      <c r="R167" s="27" t="s">
        <v>28</v>
      </c>
      <c r="S167" s="27" t="s">
        <v>28</v>
      </c>
      <c r="T167" s="27" t="s">
        <v>28</v>
      </c>
      <c r="U167" s="28"/>
    </row>
    <row r="168" spans="1:21" ht="86.45" customHeight="1" x14ac:dyDescent="0.25">
      <c r="A168" s="21">
        <v>167</v>
      </c>
      <c r="B168" s="22" t="s">
        <v>750</v>
      </c>
      <c r="C168" s="29" t="s">
        <v>786</v>
      </c>
      <c r="D168" s="23" t="s">
        <v>787</v>
      </c>
      <c r="E168" s="24" t="s">
        <v>788</v>
      </c>
      <c r="F168" s="23" t="s">
        <v>789</v>
      </c>
      <c r="G168" s="25" t="s">
        <v>26</v>
      </c>
      <c r="H168" s="26" t="s">
        <v>790</v>
      </c>
      <c r="I168" s="26"/>
      <c r="J168" s="26"/>
      <c r="K168" s="26">
        <v>5</v>
      </c>
      <c r="L168" s="26">
        <f t="shared" si="10"/>
        <v>0</v>
      </c>
      <c r="M168" s="26"/>
      <c r="N168" s="26" t="str">
        <f t="shared" si="11"/>
        <v/>
      </c>
      <c r="O168" s="26" t="str">
        <f t="shared" si="12"/>
        <v/>
      </c>
      <c r="P168" s="26">
        <f t="shared" si="13"/>
        <v>25</v>
      </c>
      <c r="Q168" s="26" t="str">
        <f t="shared" si="14"/>
        <v/>
      </c>
      <c r="R168" s="27" t="s">
        <v>28</v>
      </c>
      <c r="S168" s="27" t="s">
        <v>28</v>
      </c>
      <c r="T168" s="27" t="s">
        <v>28</v>
      </c>
      <c r="U168" s="28" t="s">
        <v>28</v>
      </c>
    </row>
    <row r="169" spans="1:21" ht="60" customHeight="1" x14ac:dyDescent="0.25">
      <c r="A169" s="21">
        <v>168</v>
      </c>
      <c r="B169" s="22" t="s">
        <v>750</v>
      </c>
      <c r="C169" s="29" t="s">
        <v>791</v>
      </c>
      <c r="D169" s="23" t="s">
        <v>792</v>
      </c>
      <c r="E169" s="24" t="s">
        <v>793</v>
      </c>
      <c r="F169" s="23" t="s">
        <v>794</v>
      </c>
      <c r="G169" s="25" t="s">
        <v>26</v>
      </c>
      <c r="H169" s="26" t="s">
        <v>795</v>
      </c>
      <c r="I169" s="26"/>
      <c r="J169" s="26"/>
      <c r="K169" s="26">
        <v>4</v>
      </c>
      <c r="L169" s="26">
        <f t="shared" si="10"/>
        <v>0</v>
      </c>
      <c r="M169" s="26"/>
      <c r="N169" s="26" t="str">
        <f t="shared" si="11"/>
        <v/>
      </c>
      <c r="O169" s="26" t="str">
        <f t="shared" si="12"/>
        <v/>
      </c>
      <c r="P169" s="26">
        <f t="shared" si="13"/>
        <v>20</v>
      </c>
      <c r="Q169" s="26" t="str">
        <f t="shared" si="14"/>
        <v/>
      </c>
      <c r="R169" s="27"/>
      <c r="S169" s="27" t="s">
        <v>28</v>
      </c>
      <c r="T169" s="27" t="s">
        <v>28</v>
      </c>
      <c r="U169" s="28"/>
    </row>
    <row r="170" spans="1:21" ht="60" customHeight="1" x14ac:dyDescent="0.25">
      <c r="A170" s="21">
        <v>169</v>
      </c>
      <c r="B170" s="22" t="s">
        <v>750</v>
      </c>
      <c r="C170" s="6" t="s">
        <v>796</v>
      </c>
      <c r="D170" s="23" t="s">
        <v>797</v>
      </c>
      <c r="E170" s="24" t="s">
        <v>798</v>
      </c>
      <c r="F170" s="23" t="s">
        <v>799</v>
      </c>
      <c r="G170" s="25" t="s">
        <v>26</v>
      </c>
      <c r="H170" s="26" t="s">
        <v>800</v>
      </c>
      <c r="I170" s="26"/>
      <c r="J170" s="26"/>
      <c r="K170" s="26">
        <v>5</v>
      </c>
      <c r="L170" s="26">
        <f t="shared" si="10"/>
        <v>0</v>
      </c>
      <c r="M170" s="26"/>
      <c r="N170" s="26" t="str">
        <f t="shared" si="11"/>
        <v/>
      </c>
      <c r="O170" s="26" t="str">
        <f t="shared" si="12"/>
        <v/>
      </c>
      <c r="P170" s="26">
        <f t="shared" si="13"/>
        <v>25</v>
      </c>
      <c r="Q170" s="26" t="str">
        <f t="shared" si="14"/>
        <v/>
      </c>
      <c r="R170" s="27"/>
      <c r="S170" s="27" t="s">
        <v>28</v>
      </c>
      <c r="T170" s="27" t="s">
        <v>28</v>
      </c>
      <c r="U170" s="28"/>
    </row>
    <row r="171" spans="1:21" ht="45" customHeight="1" x14ac:dyDescent="0.25">
      <c r="A171" s="21">
        <v>170</v>
      </c>
      <c r="B171" s="22" t="s">
        <v>750</v>
      </c>
      <c r="C171" s="29" t="s">
        <v>801</v>
      </c>
      <c r="D171" s="23" t="s">
        <v>797</v>
      </c>
      <c r="E171" s="24" t="s">
        <v>798</v>
      </c>
      <c r="F171" s="23" t="s">
        <v>799</v>
      </c>
      <c r="G171" s="25" t="s">
        <v>26</v>
      </c>
      <c r="H171" s="26" t="s">
        <v>802</v>
      </c>
      <c r="I171" s="26"/>
      <c r="J171" s="26"/>
      <c r="K171" s="26">
        <v>4</v>
      </c>
      <c r="L171" s="26">
        <f t="shared" si="10"/>
        <v>0</v>
      </c>
      <c r="M171" s="26"/>
      <c r="N171" s="26" t="str">
        <f t="shared" si="11"/>
        <v/>
      </c>
      <c r="O171" s="26" t="str">
        <f t="shared" si="12"/>
        <v/>
      </c>
      <c r="P171" s="26">
        <f t="shared" si="13"/>
        <v>20</v>
      </c>
      <c r="Q171" s="26" t="str">
        <f t="shared" si="14"/>
        <v/>
      </c>
      <c r="R171" s="27" t="s">
        <v>28</v>
      </c>
      <c r="S171" s="27"/>
      <c r="T171" s="27" t="s">
        <v>28</v>
      </c>
      <c r="U171" s="28"/>
    </row>
    <row r="172" spans="1:21" ht="60" customHeight="1" x14ac:dyDescent="0.25">
      <c r="A172" s="21">
        <v>171</v>
      </c>
      <c r="B172" s="22" t="s">
        <v>750</v>
      </c>
      <c r="C172" s="29" t="s">
        <v>803</v>
      </c>
      <c r="D172" s="23" t="s">
        <v>804</v>
      </c>
      <c r="E172" s="24" t="s">
        <v>805</v>
      </c>
      <c r="F172" s="23" t="s">
        <v>806</v>
      </c>
      <c r="G172" s="25" t="s">
        <v>26</v>
      </c>
      <c r="H172" s="26" t="s">
        <v>807</v>
      </c>
      <c r="I172" s="26"/>
      <c r="J172" s="26"/>
      <c r="K172" s="26">
        <v>4</v>
      </c>
      <c r="L172" s="26">
        <f t="shared" si="10"/>
        <v>0</v>
      </c>
      <c r="M172" s="26"/>
      <c r="N172" s="26" t="str">
        <f t="shared" si="11"/>
        <v/>
      </c>
      <c r="O172" s="26" t="str">
        <f t="shared" si="12"/>
        <v/>
      </c>
      <c r="P172" s="26">
        <f t="shared" si="13"/>
        <v>20</v>
      </c>
      <c r="Q172" s="26" t="str">
        <f t="shared" si="14"/>
        <v/>
      </c>
      <c r="R172" s="27"/>
      <c r="S172" s="27" t="s">
        <v>28</v>
      </c>
      <c r="T172" s="27" t="s">
        <v>28</v>
      </c>
      <c r="U172" s="28"/>
    </row>
    <row r="173" spans="1:21" ht="60" customHeight="1" x14ac:dyDescent="0.25">
      <c r="A173" s="21">
        <v>172</v>
      </c>
      <c r="B173" s="22" t="s">
        <v>750</v>
      </c>
      <c r="C173" s="29" t="s">
        <v>808</v>
      </c>
      <c r="D173" s="23" t="s">
        <v>797</v>
      </c>
      <c r="E173" s="24" t="s">
        <v>798</v>
      </c>
      <c r="F173" s="23" t="s">
        <v>799</v>
      </c>
      <c r="G173" s="25" t="s">
        <v>26</v>
      </c>
      <c r="H173" s="26" t="s">
        <v>809</v>
      </c>
      <c r="I173" s="26"/>
      <c r="J173" s="26"/>
      <c r="K173" s="26">
        <v>3</v>
      </c>
      <c r="L173" s="26">
        <f t="shared" si="10"/>
        <v>0</v>
      </c>
      <c r="M173" s="26"/>
      <c r="N173" s="26" t="str">
        <f t="shared" si="11"/>
        <v/>
      </c>
      <c r="O173" s="26" t="str">
        <f t="shared" si="12"/>
        <v/>
      </c>
      <c r="P173" s="26">
        <f t="shared" si="13"/>
        <v>15</v>
      </c>
      <c r="Q173" s="26" t="str">
        <f t="shared" si="14"/>
        <v/>
      </c>
      <c r="R173" s="27"/>
      <c r="S173" s="27"/>
      <c r="T173" s="27" t="s">
        <v>28</v>
      </c>
      <c r="U173" s="28"/>
    </row>
    <row r="174" spans="1:21" ht="60" customHeight="1" x14ac:dyDescent="0.25">
      <c r="A174" s="21">
        <v>173</v>
      </c>
      <c r="B174" s="22" t="s">
        <v>750</v>
      </c>
      <c r="C174" s="29" t="s">
        <v>810</v>
      </c>
      <c r="D174" s="23" t="s">
        <v>797</v>
      </c>
      <c r="E174" s="24" t="s">
        <v>798</v>
      </c>
      <c r="F174" s="23" t="s">
        <v>799</v>
      </c>
      <c r="G174" s="25" t="s">
        <v>26</v>
      </c>
      <c r="H174" s="26" t="s">
        <v>811</v>
      </c>
      <c r="I174" s="26"/>
      <c r="J174" s="26"/>
      <c r="K174" s="26">
        <v>3</v>
      </c>
      <c r="L174" s="26">
        <f t="shared" si="10"/>
        <v>0</v>
      </c>
      <c r="M174" s="26"/>
      <c r="N174" s="26" t="str">
        <f t="shared" si="11"/>
        <v/>
      </c>
      <c r="O174" s="26" t="str">
        <f t="shared" si="12"/>
        <v/>
      </c>
      <c r="P174" s="26">
        <f t="shared" si="13"/>
        <v>15</v>
      </c>
      <c r="Q174" s="26" t="str">
        <f t="shared" si="14"/>
        <v/>
      </c>
      <c r="R174" s="27"/>
      <c r="S174" s="27" t="s">
        <v>28</v>
      </c>
      <c r="T174" s="27" t="s">
        <v>28</v>
      </c>
      <c r="U174" s="28"/>
    </row>
    <row r="175" spans="1:21" ht="60" customHeight="1" x14ac:dyDescent="0.25">
      <c r="A175" s="21">
        <v>174</v>
      </c>
      <c r="B175" s="22" t="s">
        <v>750</v>
      </c>
      <c r="C175" s="6" t="s">
        <v>812</v>
      </c>
      <c r="D175" s="23" t="s">
        <v>813</v>
      </c>
      <c r="E175" s="24" t="s">
        <v>814</v>
      </c>
      <c r="F175" s="23" t="s">
        <v>815</v>
      </c>
      <c r="G175" s="25" t="s">
        <v>26</v>
      </c>
      <c r="H175" s="26" t="s">
        <v>816</v>
      </c>
      <c r="I175" s="26"/>
      <c r="J175" s="26"/>
      <c r="K175" s="26">
        <v>3</v>
      </c>
      <c r="L175" s="26">
        <f t="shared" si="10"/>
        <v>0</v>
      </c>
      <c r="M175" s="26"/>
      <c r="N175" s="26" t="str">
        <f t="shared" si="11"/>
        <v/>
      </c>
      <c r="O175" s="26" t="str">
        <f t="shared" si="12"/>
        <v/>
      </c>
      <c r="P175" s="26">
        <f t="shared" si="13"/>
        <v>15</v>
      </c>
      <c r="Q175" s="26" t="str">
        <f t="shared" si="14"/>
        <v/>
      </c>
      <c r="R175" s="27"/>
      <c r="S175" s="27"/>
      <c r="T175" s="27"/>
      <c r="U175" s="28"/>
    </row>
    <row r="176" spans="1:21" ht="60" customHeight="1" x14ac:dyDescent="0.25">
      <c r="A176" s="21">
        <v>175</v>
      </c>
      <c r="B176" s="22" t="s">
        <v>750</v>
      </c>
      <c r="C176" s="29" t="s">
        <v>817</v>
      </c>
      <c r="D176" s="23" t="s">
        <v>818</v>
      </c>
      <c r="E176" s="24" t="s">
        <v>819</v>
      </c>
      <c r="F176" s="23" t="s">
        <v>820</v>
      </c>
      <c r="G176" s="25" t="s">
        <v>26</v>
      </c>
      <c r="H176" s="26" t="s">
        <v>821</v>
      </c>
      <c r="I176" s="26"/>
      <c r="J176" s="26"/>
      <c r="K176" s="26">
        <v>5</v>
      </c>
      <c r="L176" s="26">
        <f t="shared" si="10"/>
        <v>0</v>
      </c>
      <c r="M176" s="26"/>
      <c r="N176" s="26" t="str">
        <f t="shared" si="11"/>
        <v/>
      </c>
      <c r="O176" s="26" t="str">
        <f t="shared" si="12"/>
        <v/>
      </c>
      <c r="P176" s="26">
        <f t="shared" si="13"/>
        <v>25</v>
      </c>
      <c r="Q176" s="26" t="str">
        <f t="shared" si="14"/>
        <v/>
      </c>
      <c r="R176" s="27" t="s">
        <v>28</v>
      </c>
      <c r="S176" s="27" t="s">
        <v>28</v>
      </c>
      <c r="T176" s="27" t="s">
        <v>28</v>
      </c>
      <c r="U176" s="28"/>
    </row>
    <row r="177" spans="1:21" ht="90" customHeight="1" x14ac:dyDescent="0.25">
      <c r="A177" s="21">
        <v>176</v>
      </c>
      <c r="B177" s="22" t="s">
        <v>750</v>
      </c>
      <c r="C177" s="29" t="s">
        <v>822</v>
      </c>
      <c r="D177" s="23" t="s">
        <v>823</v>
      </c>
      <c r="E177" s="24" t="s">
        <v>824</v>
      </c>
      <c r="F177" s="23" t="s">
        <v>825</v>
      </c>
      <c r="G177" s="25" t="s">
        <v>26</v>
      </c>
      <c r="H177" s="26" t="s">
        <v>826</v>
      </c>
      <c r="I177" s="26"/>
      <c r="J177" s="26"/>
      <c r="K177" s="26">
        <v>4</v>
      </c>
      <c r="L177" s="26">
        <f t="shared" si="10"/>
        <v>0</v>
      </c>
      <c r="M177" s="26"/>
      <c r="N177" s="26" t="str">
        <f t="shared" si="11"/>
        <v/>
      </c>
      <c r="O177" s="26" t="str">
        <f t="shared" si="12"/>
        <v/>
      </c>
      <c r="P177" s="26">
        <f t="shared" si="13"/>
        <v>20</v>
      </c>
      <c r="Q177" s="26" t="str">
        <f t="shared" si="14"/>
        <v/>
      </c>
      <c r="R177" s="27" t="s">
        <v>28</v>
      </c>
      <c r="S177" s="27" t="s">
        <v>28</v>
      </c>
      <c r="T177" s="27" t="s">
        <v>28</v>
      </c>
      <c r="U177" s="28"/>
    </row>
    <row r="178" spans="1:21" ht="90" customHeight="1" x14ac:dyDescent="0.25">
      <c r="A178" s="21">
        <v>177</v>
      </c>
      <c r="B178" s="22" t="s">
        <v>750</v>
      </c>
      <c r="C178" s="6" t="s">
        <v>827</v>
      </c>
      <c r="D178" s="23" t="s">
        <v>828</v>
      </c>
      <c r="E178" s="24" t="s">
        <v>829</v>
      </c>
      <c r="F178" s="23" t="s">
        <v>830</v>
      </c>
      <c r="G178" s="25" t="s">
        <v>26</v>
      </c>
      <c r="H178" s="26" t="s">
        <v>831</v>
      </c>
      <c r="I178" s="26"/>
      <c r="J178" s="26"/>
      <c r="K178" s="26">
        <v>4</v>
      </c>
      <c r="L178" s="26">
        <f t="shared" si="10"/>
        <v>0</v>
      </c>
      <c r="M178" s="26"/>
      <c r="N178" s="26" t="str">
        <f t="shared" si="11"/>
        <v/>
      </c>
      <c r="O178" s="26" t="str">
        <f t="shared" si="12"/>
        <v/>
      </c>
      <c r="P178" s="26">
        <f t="shared" si="13"/>
        <v>20</v>
      </c>
      <c r="Q178" s="26" t="str">
        <f t="shared" si="14"/>
        <v/>
      </c>
      <c r="R178" s="27" t="s">
        <v>28</v>
      </c>
      <c r="S178" s="27" t="s">
        <v>28</v>
      </c>
      <c r="T178" s="27" t="s">
        <v>28</v>
      </c>
      <c r="U178" s="28" t="s">
        <v>28</v>
      </c>
    </row>
    <row r="179" spans="1:21" ht="78" customHeight="1" x14ac:dyDescent="0.25">
      <c r="A179" s="21">
        <v>178</v>
      </c>
      <c r="B179" s="22" t="s">
        <v>750</v>
      </c>
      <c r="C179" s="6" t="s">
        <v>832</v>
      </c>
      <c r="D179" s="23" t="s">
        <v>833</v>
      </c>
      <c r="E179" s="24" t="s">
        <v>834</v>
      </c>
      <c r="F179" s="23" t="s">
        <v>835</v>
      </c>
      <c r="G179" s="25" t="s">
        <v>26</v>
      </c>
      <c r="H179" s="26" t="s">
        <v>836</v>
      </c>
      <c r="I179" s="26"/>
      <c r="J179" s="26"/>
      <c r="K179" s="26">
        <v>4</v>
      </c>
      <c r="L179" s="26">
        <f t="shared" si="10"/>
        <v>0</v>
      </c>
      <c r="M179" s="26"/>
      <c r="N179" s="26" t="str">
        <f t="shared" si="11"/>
        <v/>
      </c>
      <c r="O179" s="26" t="str">
        <f t="shared" si="12"/>
        <v/>
      </c>
      <c r="P179" s="26">
        <f t="shared" si="13"/>
        <v>20</v>
      </c>
      <c r="Q179" s="26" t="str">
        <f t="shared" si="14"/>
        <v/>
      </c>
      <c r="R179" s="27" t="s">
        <v>28</v>
      </c>
      <c r="S179" s="27" t="s">
        <v>28</v>
      </c>
      <c r="T179" s="27" t="s">
        <v>28</v>
      </c>
      <c r="U179" s="28" t="s">
        <v>28</v>
      </c>
    </row>
    <row r="180" spans="1:21" ht="78" customHeight="1" x14ac:dyDescent="0.25">
      <c r="A180" s="21">
        <v>179</v>
      </c>
      <c r="B180" s="22" t="s">
        <v>750</v>
      </c>
      <c r="C180" s="6" t="s">
        <v>837</v>
      </c>
      <c r="D180" s="23" t="s">
        <v>833</v>
      </c>
      <c r="E180" s="24" t="s">
        <v>834</v>
      </c>
      <c r="F180" s="23" t="s">
        <v>835</v>
      </c>
      <c r="G180" s="25" t="s">
        <v>26</v>
      </c>
      <c r="H180" s="26" t="s">
        <v>838</v>
      </c>
      <c r="I180" s="26"/>
      <c r="J180" s="26"/>
      <c r="K180" s="26">
        <v>3</v>
      </c>
      <c r="L180" s="26">
        <f t="shared" si="10"/>
        <v>0</v>
      </c>
      <c r="M180" s="26"/>
      <c r="N180" s="26" t="str">
        <f t="shared" si="11"/>
        <v/>
      </c>
      <c r="O180" s="26" t="str">
        <f t="shared" si="12"/>
        <v/>
      </c>
      <c r="P180" s="26">
        <f t="shared" si="13"/>
        <v>15</v>
      </c>
      <c r="Q180" s="26" t="str">
        <f t="shared" si="14"/>
        <v/>
      </c>
      <c r="R180" s="27" t="s">
        <v>28</v>
      </c>
      <c r="S180" s="27" t="s">
        <v>28</v>
      </c>
      <c r="T180" s="27" t="s">
        <v>28</v>
      </c>
      <c r="U180" s="28" t="s">
        <v>28</v>
      </c>
    </row>
    <row r="181" spans="1:21" ht="78" customHeight="1" x14ac:dyDescent="0.25">
      <c r="A181" s="21">
        <v>180</v>
      </c>
      <c r="B181" s="22" t="s">
        <v>750</v>
      </c>
      <c r="C181" s="43" t="s">
        <v>839</v>
      </c>
      <c r="D181" s="23" t="s">
        <v>840</v>
      </c>
      <c r="E181" s="32" t="s">
        <v>841</v>
      </c>
      <c r="F181" s="23" t="s">
        <v>842</v>
      </c>
      <c r="G181" s="25" t="s">
        <v>26</v>
      </c>
      <c r="H181" s="26" t="s">
        <v>843</v>
      </c>
      <c r="I181" s="26"/>
      <c r="J181" s="26"/>
      <c r="K181" s="26">
        <v>4</v>
      </c>
      <c r="L181" s="26">
        <f t="shared" si="10"/>
        <v>0</v>
      </c>
      <c r="M181" s="26"/>
      <c r="N181" s="26" t="str">
        <f t="shared" si="11"/>
        <v/>
      </c>
      <c r="O181" s="26" t="str">
        <f t="shared" si="12"/>
        <v/>
      </c>
      <c r="P181" s="26">
        <f t="shared" si="13"/>
        <v>20</v>
      </c>
      <c r="Q181" s="26" t="str">
        <f t="shared" si="14"/>
        <v/>
      </c>
      <c r="R181" s="33" t="s">
        <v>28</v>
      </c>
      <c r="S181" s="33"/>
      <c r="T181" s="33"/>
      <c r="U181" s="34"/>
    </row>
    <row r="182" spans="1:21" ht="78" customHeight="1" x14ac:dyDescent="0.25">
      <c r="A182" s="21">
        <v>181</v>
      </c>
      <c r="B182" s="22" t="s">
        <v>750</v>
      </c>
      <c r="C182" s="43" t="s">
        <v>844</v>
      </c>
      <c r="D182" s="23" t="s">
        <v>845</v>
      </c>
      <c r="E182" s="32" t="s">
        <v>846</v>
      </c>
      <c r="F182" s="23" t="s">
        <v>847</v>
      </c>
      <c r="G182" s="25" t="s">
        <v>26</v>
      </c>
      <c r="H182" s="26" t="s">
        <v>848</v>
      </c>
      <c r="I182" s="26"/>
      <c r="J182" s="26"/>
      <c r="K182" s="26">
        <v>3</v>
      </c>
      <c r="L182" s="26">
        <f t="shared" si="10"/>
        <v>0</v>
      </c>
      <c r="M182" s="26"/>
      <c r="N182" s="26" t="str">
        <f t="shared" si="11"/>
        <v/>
      </c>
      <c r="O182" s="26" t="str">
        <f t="shared" si="12"/>
        <v/>
      </c>
      <c r="P182" s="26">
        <f t="shared" si="13"/>
        <v>15</v>
      </c>
      <c r="Q182" s="26" t="str">
        <f t="shared" si="14"/>
        <v/>
      </c>
      <c r="R182" s="33"/>
      <c r="S182" s="33"/>
      <c r="T182" s="33" t="s">
        <v>28</v>
      </c>
      <c r="U182" s="34"/>
    </row>
    <row r="183" spans="1:21" ht="78" customHeight="1" x14ac:dyDescent="0.25">
      <c r="A183" s="21">
        <v>182</v>
      </c>
      <c r="B183" s="22" t="s">
        <v>750</v>
      </c>
      <c r="C183" s="43" t="s">
        <v>849</v>
      </c>
      <c r="D183" s="23" t="s">
        <v>850</v>
      </c>
      <c r="E183" s="32" t="s">
        <v>851</v>
      </c>
      <c r="F183" s="23" t="s">
        <v>852</v>
      </c>
      <c r="G183" s="25" t="s">
        <v>26</v>
      </c>
      <c r="H183" s="26" t="s">
        <v>853</v>
      </c>
      <c r="I183" s="26"/>
      <c r="J183" s="26"/>
      <c r="K183" s="26">
        <v>4</v>
      </c>
      <c r="L183" s="26">
        <f t="shared" si="10"/>
        <v>0</v>
      </c>
      <c r="M183" s="26"/>
      <c r="N183" s="26" t="str">
        <f t="shared" si="11"/>
        <v/>
      </c>
      <c r="O183" s="26" t="str">
        <f t="shared" si="12"/>
        <v/>
      </c>
      <c r="P183" s="26">
        <f t="shared" si="13"/>
        <v>20</v>
      </c>
      <c r="Q183" s="26" t="str">
        <f t="shared" si="14"/>
        <v/>
      </c>
      <c r="R183" s="33"/>
      <c r="S183" s="33"/>
      <c r="T183" s="33"/>
      <c r="U183" s="34"/>
    </row>
    <row r="184" spans="1:21" ht="78" customHeight="1" x14ac:dyDescent="0.25">
      <c r="A184" s="21">
        <v>183</v>
      </c>
      <c r="B184" s="22" t="s">
        <v>750</v>
      </c>
      <c r="C184" s="43" t="s">
        <v>854</v>
      </c>
      <c r="D184" s="23" t="s">
        <v>855</v>
      </c>
      <c r="E184" s="32" t="s">
        <v>856</v>
      </c>
      <c r="F184" s="23" t="s">
        <v>857</v>
      </c>
      <c r="G184" s="25" t="s">
        <v>26</v>
      </c>
      <c r="H184" s="26" t="s">
        <v>858</v>
      </c>
      <c r="I184" s="26"/>
      <c r="J184" s="26"/>
      <c r="K184" s="26">
        <v>4</v>
      </c>
      <c r="L184" s="26">
        <f t="shared" si="10"/>
        <v>0</v>
      </c>
      <c r="M184" s="26"/>
      <c r="N184" s="26" t="str">
        <f t="shared" si="11"/>
        <v/>
      </c>
      <c r="O184" s="26" t="str">
        <f t="shared" si="12"/>
        <v/>
      </c>
      <c r="P184" s="26">
        <f t="shared" si="13"/>
        <v>20</v>
      </c>
      <c r="Q184" s="26" t="str">
        <f t="shared" si="14"/>
        <v/>
      </c>
      <c r="R184" s="33"/>
      <c r="S184" s="33"/>
      <c r="T184" s="33" t="s">
        <v>28</v>
      </c>
      <c r="U184" s="34"/>
    </row>
    <row r="185" spans="1:21" ht="78" customHeight="1" x14ac:dyDescent="0.25">
      <c r="A185" s="21">
        <v>184</v>
      </c>
      <c r="B185" s="22" t="s">
        <v>750</v>
      </c>
      <c r="C185" s="43" t="s">
        <v>859</v>
      </c>
      <c r="D185" s="23" t="s">
        <v>860</v>
      </c>
      <c r="E185" s="32" t="s">
        <v>861</v>
      </c>
      <c r="F185" s="23" t="s">
        <v>862</v>
      </c>
      <c r="G185" s="25" t="s">
        <v>26</v>
      </c>
      <c r="H185" s="26" t="s">
        <v>863</v>
      </c>
      <c r="I185" s="26"/>
      <c r="J185" s="26"/>
      <c r="K185" s="26">
        <v>3</v>
      </c>
      <c r="L185" s="26">
        <f t="shared" si="10"/>
        <v>0</v>
      </c>
      <c r="M185" s="26"/>
      <c r="N185" s="26" t="str">
        <f t="shared" si="11"/>
        <v/>
      </c>
      <c r="O185" s="26" t="str">
        <f t="shared" si="12"/>
        <v/>
      </c>
      <c r="P185" s="26">
        <f t="shared" si="13"/>
        <v>15</v>
      </c>
      <c r="Q185" s="26" t="str">
        <f t="shared" si="14"/>
        <v/>
      </c>
      <c r="R185" s="33"/>
      <c r="S185" s="33"/>
      <c r="T185" s="33"/>
      <c r="U185" s="34"/>
    </row>
    <row r="186" spans="1:21" ht="78" customHeight="1" x14ac:dyDescent="0.25">
      <c r="A186" s="21">
        <v>185</v>
      </c>
      <c r="B186" s="22" t="s">
        <v>750</v>
      </c>
      <c r="C186" s="43" t="s">
        <v>864</v>
      </c>
      <c r="D186" s="23" t="s">
        <v>865</v>
      </c>
      <c r="E186" s="32" t="s">
        <v>866</v>
      </c>
      <c r="F186" s="23" t="s">
        <v>867</v>
      </c>
      <c r="G186" s="25" t="s">
        <v>26</v>
      </c>
      <c r="H186" s="26" t="s">
        <v>868</v>
      </c>
      <c r="I186" s="26"/>
      <c r="J186" s="26"/>
      <c r="K186" s="26">
        <v>4</v>
      </c>
      <c r="L186" s="26">
        <f t="shared" si="10"/>
        <v>0</v>
      </c>
      <c r="M186" s="26"/>
      <c r="N186" s="26" t="str">
        <f t="shared" si="11"/>
        <v/>
      </c>
      <c r="O186" s="26" t="str">
        <f t="shared" si="12"/>
        <v/>
      </c>
      <c r="P186" s="26">
        <f t="shared" si="13"/>
        <v>20</v>
      </c>
      <c r="Q186" s="26" t="str">
        <f t="shared" si="14"/>
        <v/>
      </c>
      <c r="R186" s="33"/>
      <c r="S186" s="33" t="s">
        <v>28</v>
      </c>
      <c r="T186" s="33" t="s">
        <v>28</v>
      </c>
      <c r="U186" s="34"/>
    </row>
    <row r="187" spans="1:21" ht="78" customHeight="1" x14ac:dyDescent="0.25">
      <c r="A187" s="21">
        <v>186</v>
      </c>
      <c r="B187" s="22" t="s">
        <v>750</v>
      </c>
      <c r="C187" s="43" t="s">
        <v>869</v>
      </c>
      <c r="D187" s="23" t="s">
        <v>870</v>
      </c>
      <c r="E187" s="32" t="s">
        <v>871</v>
      </c>
      <c r="F187" s="23" t="s">
        <v>872</v>
      </c>
      <c r="G187" s="25" t="s">
        <v>26</v>
      </c>
      <c r="H187" s="26" t="s">
        <v>873</v>
      </c>
      <c r="I187" s="26"/>
      <c r="J187" s="26"/>
      <c r="K187" s="26">
        <v>4</v>
      </c>
      <c r="L187" s="26">
        <f t="shared" si="10"/>
        <v>0</v>
      </c>
      <c r="M187" s="26"/>
      <c r="N187" s="26" t="str">
        <f t="shared" si="11"/>
        <v/>
      </c>
      <c r="O187" s="26" t="str">
        <f t="shared" si="12"/>
        <v/>
      </c>
      <c r="P187" s="26">
        <f t="shared" si="13"/>
        <v>20</v>
      </c>
      <c r="Q187" s="26" t="str">
        <f t="shared" si="14"/>
        <v/>
      </c>
      <c r="R187" s="33" t="s">
        <v>28</v>
      </c>
      <c r="S187" s="33" t="s">
        <v>28</v>
      </c>
      <c r="T187" s="33" t="s">
        <v>28</v>
      </c>
      <c r="U187" s="34"/>
    </row>
    <row r="188" spans="1:21" ht="78" customHeight="1" x14ac:dyDescent="0.25">
      <c r="A188" s="21">
        <v>187</v>
      </c>
      <c r="B188" s="22" t="s">
        <v>750</v>
      </c>
      <c r="C188" s="43" t="s">
        <v>874</v>
      </c>
      <c r="D188" s="23" t="s">
        <v>875</v>
      </c>
      <c r="E188" s="32" t="s">
        <v>876</v>
      </c>
      <c r="F188" s="23" t="s">
        <v>877</v>
      </c>
      <c r="G188" s="25" t="s">
        <v>26</v>
      </c>
      <c r="H188" s="26" t="s">
        <v>878</v>
      </c>
      <c r="I188" s="26"/>
      <c r="J188" s="26"/>
      <c r="K188" s="26">
        <v>5</v>
      </c>
      <c r="L188" s="26">
        <f t="shared" si="10"/>
        <v>0</v>
      </c>
      <c r="M188" s="26"/>
      <c r="N188" s="26" t="str">
        <f t="shared" si="11"/>
        <v/>
      </c>
      <c r="O188" s="26" t="str">
        <f t="shared" si="12"/>
        <v/>
      </c>
      <c r="P188" s="26">
        <f t="shared" si="13"/>
        <v>25</v>
      </c>
      <c r="Q188" s="26" t="str">
        <f t="shared" si="14"/>
        <v/>
      </c>
      <c r="R188" s="33" t="s">
        <v>28</v>
      </c>
      <c r="S188" s="33" t="s">
        <v>28</v>
      </c>
      <c r="T188" s="33"/>
      <c r="U188" s="34" t="s">
        <v>28</v>
      </c>
    </row>
    <row r="189" spans="1:21" ht="78" customHeight="1" x14ac:dyDescent="0.25">
      <c r="A189" s="21">
        <v>188</v>
      </c>
      <c r="B189" s="22" t="s">
        <v>750</v>
      </c>
      <c r="C189" s="43" t="s">
        <v>879</v>
      </c>
      <c r="D189" s="23" t="s">
        <v>880</v>
      </c>
      <c r="E189" s="32" t="s">
        <v>881</v>
      </c>
      <c r="F189" s="23" t="s">
        <v>882</v>
      </c>
      <c r="G189" s="25" t="s">
        <v>26</v>
      </c>
      <c r="H189" s="26" t="s">
        <v>883</v>
      </c>
      <c r="I189" s="26"/>
      <c r="J189" s="26"/>
      <c r="K189" s="26">
        <v>3</v>
      </c>
      <c r="L189" s="26">
        <f t="shared" si="10"/>
        <v>0</v>
      </c>
      <c r="M189" s="26"/>
      <c r="N189" s="26" t="str">
        <f t="shared" si="11"/>
        <v/>
      </c>
      <c r="O189" s="26" t="str">
        <f t="shared" si="12"/>
        <v/>
      </c>
      <c r="P189" s="26">
        <f t="shared" si="13"/>
        <v>15</v>
      </c>
      <c r="Q189" s="26" t="str">
        <f t="shared" si="14"/>
        <v/>
      </c>
      <c r="R189" s="33"/>
      <c r="S189" s="33" t="s">
        <v>28</v>
      </c>
      <c r="T189" s="33" t="s">
        <v>28</v>
      </c>
      <c r="U189" s="34"/>
    </row>
    <row r="190" spans="1:21" ht="78" customHeight="1" x14ac:dyDescent="0.25">
      <c r="A190" s="21">
        <v>189</v>
      </c>
      <c r="B190" s="22" t="s">
        <v>750</v>
      </c>
      <c r="C190" s="43" t="s">
        <v>884</v>
      </c>
      <c r="D190" s="23" t="s">
        <v>885</v>
      </c>
      <c r="E190" s="32" t="s">
        <v>886</v>
      </c>
      <c r="F190" s="23" t="s">
        <v>887</v>
      </c>
      <c r="G190" s="25" t="s">
        <v>26</v>
      </c>
      <c r="H190" s="26" t="s">
        <v>888</v>
      </c>
      <c r="I190" s="26"/>
      <c r="J190" s="26"/>
      <c r="K190" s="26">
        <v>4</v>
      </c>
      <c r="L190" s="26">
        <f t="shared" si="10"/>
        <v>0</v>
      </c>
      <c r="M190" s="26"/>
      <c r="N190" s="26" t="str">
        <f t="shared" si="11"/>
        <v/>
      </c>
      <c r="O190" s="26" t="str">
        <f t="shared" si="12"/>
        <v/>
      </c>
      <c r="P190" s="26">
        <f t="shared" si="13"/>
        <v>20</v>
      </c>
      <c r="Q190" s="26" t="str">
        <f t="shared" si="14"/>
        <v/>
      </c>
      <c r="R190" s="33"/>
      <c r="S190" s="33" t="s">
        <v>28</v>
      </c>
      <c r="T190" s="33" t="s">
        <v>28</v>
      </c>
      <c r="U190" s="34"/>
    </row>
    <row r="191" spans="1:21" ht="78" customHeight="1" x14ac:dyDescent="0.25">
      <c r="A191" s="21">
        <v>190</v>
      </c>
      <c r="B191" s="22" t="s">
        <v>750</v>
      </c>
      <c r="C191" s="43" t="s">
        <v>889</v>
      </c>
      <c r="D191" s="23" t="s">
        <v>890</v>
      </c>
      <c r="E191" s="32" t="s">
        <v>891</v>
      </c>
      <c r="F191" s="23" t="s">
        <v>892</v>
      </c>
      <c r="G191" s="25" t="s">
        <v>26</v>
      </c>
      <c r="H191" s="26" t="s">
        <v>893</v>
      </c>
      <c r="I191" s="26"/>
      <c r="J191" s="26"/>
      <c r="K191" s="26">
        <v>4</v>
      </c>
      <c r="L191" s="26">
        <f t="shared" si="10"/>
        <v>0</v>
      </c>
      <c r="M191" s="26"/>
      <c r="N191" s="26" t="str">
        <f t="shared" si="11"/>
        <v/>
      </c>
      <c r="O191" s="26" t="str">
        <f t="shared" si="12"/>
        <v/>
      </c>
      <c r="P191" s="26">
        <f t="shared" si="13"/>
        <v>20</v>
      </c>
      <c r="Q191" s="26" t="str">
        <f t="shared" si="14"/>
        <v/>
      </c>
      <c r="R191" s="33" t="s">
        <v>28</v>
      </c>
      <c r="S191" s="33" t="s">
        <v>28</v>
      </c>
      <c r="T191" s="33" t="s">
        <v>28</v>
      </c>
      <c r="U191" s="34" t="s">
        <v>28</v>
      </c>
    </row>
    <row r="192" spans="1:21" ht="78" customHeight="1" x14ac:dyDescent="0.25">
      <c r="A192" s="21">
        <v>191</v>
      </c>
      <c r="B192" s="22" t="s">
        <v>750</v>
      </c>
      <c r="C192" s="43" t="s">
        <v>894</v>
      </c>
      <c r="D192" s="23" t="s">
        <v>895</v>
      </c>
      <c r="E192" s="32" t="s">
        <v>896</v>
      </c>
      <c r="F192" s="23" t="s">
        <v>897</v>
      </c>
      <c r="G192" s="25" t="s">
        <v>26</v>
      </c>
      <c r="H192" s="26" t="s">
        <v>898</v>
      </c>
      <c r="I192" s="26"/>
      <c r="J192" s="26"/>
      <c r="K192" s="26">
        <v>3</v>
      </c>
      <c r="L192" s="26">
        <f t="shared" si="10"/>
        <v>0</v>
      </c>
      <c r="M192" s="26"/>
      <c r="N192" s="26" t="str">
        <f t="shared" si="11"/>
        <v/>
      </c>
      <c r="O192" s="26" t="str">
        <f t="shared" si="12"/>
        <v/>
      </c>
      <c r="P192" s="26">
        <f t="shared" si="13"/>
        <v>15</v>
      </c>
      <c r="Q192" s="26" t="str">
        <f t="shared" si="14"/>
        <v/>
      </c>
      <c r="R192" s="33"/>
      <c r="S192" s="33"/>
      <c r="T192" s="33"/>
      <c r="U192" s="34"/>
    </row>
    <row r="193" spans="1:21" ht="78" customHeight="1" x14ac:dyDescent="0.25">
      <c r="A193" s="21">
        <v>192</v>
      </c>
      <c r="B193" s="22" t="s">
        <v>750</v>
      </c>
      <c r="C193" s="43" t="s">
        <v>899</v>
      </c>
      <c r="D193" s="23" t="s">
        <v>900</v>
      </c>
      <c r="E193" s="32" t="s">
        <v>901</v>
      </c>
      <c r="F193" s="23" t="s">
        <v>902</v>
      </c>
      <c r="G193" s="25" t="s">
        <v>26</v>
      </c>
      <c r="H193" s="26" t="s">
        <v>903</v>
      </c>
      <c r="I193" s="26"/>
      <c r="J193" s="26"/>
      <c r="K193" s="26">
        <v>3</v>
      </c>
      <c r="L193" s="26">
        <f t="shared" si="10"/>
        <v>0</v>
      </c>
      <c r="M193" s="26"/>
      <c r="N193" s="26" t="str">
        <f t="shared" si="11"/>
        <v/>
      </c>
      <c r="O193" s="26" t="str">
        <f t="shared" si="12"/>
        <v/>
      </c>
      <c r="P193" s="26">
        <f t="shared" si="13"/>
        <v>15</v>
      </c>
      <c r="Q193" s="26" t="str">
        <f t="shared" si="14"/>
        <v/>
      </c>
      <c r="R193" s="33"/>
      <c r="S193" s="33"/>
      <c r="T193" s="33"/>
      <c r="U193" s="34"/>
    </row>
    <row r="194" spans="1:21" ht="78" customHeight="1" x14ac:dyDescent="0.25">
      <c r="A194" s="21">
        <v>193</v>
      </c>
      <c r="B194" s="22" t="s">
        <v>750</v>
      </c>
      <c r="C194" s="43" t="s">
        <v>904</v>
      </c>
      <c r="D194" s="23" t="s">
        <v>905</v>
      </c>
      <c r="E194" s="32" t="s">
        <v>906</v>
      </c>
      <c r="F194" s="23" t="s">
        <v>907</v>
      </c>
      <c r="G194" s="25" t="s">
        <v>26</v>
      </c>
      <c r="H194" s="26" t="s">
        <v>908</v>
      </c>
      <c r="I194" s="26"/>
      <c r="J194" s="26"/>
      <c r="K194" s="26">
        <v>4</v>
      </c>
      <c r="L194" s="26">
        <f t="shared" ref="L194:L257" si="15">IF(M194="",0,N194)</f>
        <v>0</v>
      </c>
      <c r="M194" s="26"/>
      <c r="N194" s="26" t="str">
        <f t="shared" ref="N194:N257" si="16">IF(M194="", "", IF(M194=1,1,IF(M194=2,3,IF(M194=3,5,""))))</f>
        <v/>
      </c>
      <c r="O194" s="26" t="str">
        <f t="shared" ref="O194:O257" si="17">IF(M194="", "", N194 * IF(K194="",1,K194))</f>
        <v/>
      </c>
      <c r="P194" s="26">
        <f t="shared" ref="P194:P257" si="18">5 * IF(K194="",1,K194)</f>
        <v>20</v>
      </c>
      <c r="Q194" s="26" t="str">
        <f t="shared" ref="Q194:Q257" si="19">IF(M194="", "", (O194 / P194) * 5)</f>
        <v/>
      </c>
      <c r="R194" s="33" t="s">
        <v>28</v>
      </c>
      <c r="S194" s="33" t="s">
        <v>28</v>
      </c>
      <c r="T194" s="33" t="s">
        <v>28</v>
      </c>
      <c r="U194" s="34"/>
    </row>
    <row r="195" spans="1:21" ht="78" customHeight="1" x14ac:dyDescent="0.25">
      <c r="A195" s="21">
        <v>194</v>
      </c>
      <c r="B195" s="22" t="s">
        <v>750</v>
      </c>
      <c r="C195" s="43" t="s">
        <v>909</v>
      </c>
      <c r="D195" s="23" t="s">
        <v>910</v>
      </c>
      <c r="E195" s="32" t="s">
        <v>911</v>
      </c>
      <c r="F195" s="23" t="s">
        <v>912</v>
      </c>
      <c r="G195" s="25" t="s">
        <v>26</v>
      </c>
      <c r="H195" s="26" t="s">
        <v>913</v>
      </c>
      <c r="I195" s="26"/>
      <c r="J195" s="26"/>
      <c r="K195" s="26">
        <v>5</v>
      </c>
      <c r="L195" s="26">
        <f t="shared" si="15"/>
        <v>0</v>
      </c>
      <c r="M195" s="26"/>
      <c r="N195" s="26" t="str">
        <f t="shared" si="16"/>
        <v/>
      </c>
      <c r="O195" s="26" t="str">
        <f t="shared" si="17"/>
        <v/>
      </c>
      <c r="P195" s="26">
        <f t="shared" si="18"/>
        <v>25</v>
      </c>
      <c r="Q195" s="26" t="str">
        <f t="shared" si="19"/>
        <v/>
      </c>
      <c r="R195" s="33"/>
      <c r="S195" s="33"/>
      <c r="T195" s="33"/>
      <c r="U195" s="34"/>
    </row>
    <row r="196" spans="1:21" ht="78" customHeight="1" x14ac:dyDescent="0.25">
      <c r="A196" s="21">
        <v>195</v>
      </c>
      <c r="B196" s="22" t="s">
        <v>750</v>
      </c>
      <c r="C196" s="43" t="s">
        <v>914</v>
      </c>
      <c r="D196" s="23" t="s">
        <v>915</v>
      </c>
      <c r="E196" s="32" t="s">
        <v>916</v>
      </c>
      <c r="F196" s="23" t="s">
        <v>917</v>
      </c>
      <c r="G196" s="25" t="s">
        <v>26</v>
      </c>
      <c r="H196" s="26" t="s">
        <v>918</v>
      </c>
      <c r="I196" s="26"/>
      <c r="J196" s="26"/>
      <c r="K196" s="26">
        <v>3</v>
      </c>
      <c r="L196" s="26">
        <f t="shared" si="15"/>
        <v>0</v>
      </c>
      <c r="M196" s="26"/>
      <c r="N196" s="26" t="str">
        <f t="shared" si="16"/>
        <v/>
      </c>
      <c r="O196" s="26" t="str">
        <f t="shared" si="17"/>
        <v/>
      </c>
      <c r="P196" s="26">
        <f t="shared" si="18"/>
        <v>15</v>
      </c>
      <c r="Q196" s="26" t="str">
        <f t="shared" si="19"/>
        <v/>
      </c>
      <c r="R196" s="33"/>
      <c r="S196" s="33" t="s">
        <v>28</v>
      </c>
      <c r="T196" s="33" t="s">
        <v>28</v>
      </c>
      <c r="U196" s="34"/>
    </row>
    <row r="197" spans="1:21" ht="78" customHeight="1" x14ac:dyDescent="0.25">
      <c r="A197" s="21">
        <v>196</v>
      </c>
      <c r="B197" s="22" t="s">
        <v>750</v>
      </c>
      <c r="C197" s="43" t="s">
        <v>919</v>
      </c>
      <c r="D197" s="23" t="s">
        <v>920</v>
      </c>
      <c r="E197" s="32" t="s">
        <v>921</v>
      </c>
      <c r="F197" s="23" t="s">
        <v>922</v>
      </c>
      <c r="G197" s="25" t="s">
        <v>26</v>
      </c>
      <c r="H197" s="26" t="s">
        <v>923</v>
      </c>
      <c r="I197" s="26"/>
      <c r="J197" s="26"/>
      <c r="K197" s="26">
        <v>4</v>
      </c>
      <c r="L197" s="26">
        <f t="shared" si="15"/>
        <v>0</v>
      </c>
      <c r="M197" s="26"/>
      <c r="N197" s="26" t="str">
        <f t="shared" si="16"/>
        <v/>
      </c>
      <c r="O197" s="26" t="str">
        <f t="shared" si="17"/>
        <v/>
      </c>
      <c r="P197" s="26">
        <f t="shared" si="18"/>
        <v>20</v>
      </c>
      <c r="Q197" s="26" t="str">
        <f t="shared" si="19"/>
        <v/>
      </c>
      <c r="R197" s="33" t="s">
        <v>28</v>
      </c>
      <c r="S197" s="33" t="s">
        <v>28</v>
      </c>
      <c r="T197" s="33" t="s">
        <v>28</v>
      </c>
      <c r="U197" s="34" t="s">
        <v>28</v>
      </c>
    </row>
    <row r="198" spans="1:21" ht="28.9" customHeight="1" x14ac:dyDescent="0.25">
      <c r="A198" s="21">
        <v>197</v>
      </c>
      <c r="B198" s="22" t="s">
        <v>750</v>
      </c>
      <c r="C198" s="43" t="s">
        <v>924</v>
      </c>
      <c r="D198" s="23" t="s">
        <v>925</v>
      </c>
      <c r="E198" s="32" t="s">
        <v>926</v>
      </c>
      <c r="F198" s="23" t="s">
        <v>927</v>
      </c>
      <c r="G198" s="25" t="s">
        <v>26</v>
      </c>
      <c r="H198" s="26" t="s">
        <v>928</v>
      </c>
      <c r="I198" s="26"/>
      <c r="J198" s="26"/>
      <c r="K198" s="26">
        <v>4</v>
      </c>
      <c r="L198" s="26">
        <f t="shared" si="15"/>
        <v>0</v>
      </c>
      <c r="M198" s="26"/>
      <c r="N198" s="26" t="str">
        <f t="shared" si="16"/>
        <v/>
      </c>
      <c r="O198" s="26" t="str">
        <f t="shared" si="17"/>
        <v/>
      </c>
      <c r="P198" s="26">
        <f t="shared" si="18"/>
        <v>20</v>
      </c>
      <c r="Q198" s="26" t="str">
        <f t="shared" si="19"/>
        <v/>
      </c>
      <c r="R198" s="33" t="s">
        <v>28</v>
      </c>
      <c r="S198" s="33" t="s">
        <v>28</v>
      </c>
      <c r="T198" s="33" t="s">
        <v>28</v>
      </c>
      <c r="U198" s="34" t="s">
        <v>28</v>
      </c>
    </row>
    <row r="199" spans="1:21" ht="72" customHeight="1" x14ac:dyDescent="0.25">
      <c r="A199" s="21">
        <v>198</v>
      </c>
      <c r="B199" s="23" t="s">
        <v>929</v>
      </c>
      <c r="C199" s="29" t="s">
        <v>930</v>
      </c>
      <c r="D199" s="23" t="s">
        <v>931</v>
      </c>
      <c r="E199" s="24" t="s">
        <v>932</v>
      </c>
      <c r="F199" s="23" t="s">
        <v>933</v>
      </c>
      <c r="G199" s="25" t="s">
        <v>26</v>
      </c>
      <c r="H199" s="26" t="s">
        <v>934</v>
      </c>
      <c r="I199" s="26"/>
      <c r="J199" s="26"/>
      <c r="K199" s="26">
        <v>4</v>
      </c>
      <c r="L199" s="26">
        <f t="shared" si="15"/>
        <v>0</v>
      </c>
      <c r="M199" s="26"/>
      <c r="N199" s="26" t="str">
        <f t="shared" si="16"/>
        <v/>
      </c>
      <c r="O199" s="26" t="str">
        <f t="shared" si="17"/>
        <v/>
      </c>
      <c r="P199" s="26">
        <f t="shared" si="18"/>
        <v>20</v>
      </c>
      <c r="Q199" s="26" t="str">
        <f t="shared" si="19"/>
        <v/>
      </c>
      <c r="R199" s="27"/>
      <c r="S199" s="27" t="s">
        <v>28</v>
      </c>
      <c r="T199" s="27" t="s">
        <v>28</v>
      </c>
      <c r="U199" s="28"/>
    </row>
    <row r="200" spans="1:21" ht="86.45" customHeight="1" x14ac:dyDescent="0.25">
      <c r="A200" s="21">
        <v>199</v>
      </c>
      <c r="B200" s="23" t="s">
        <v>929</v>
      </c>
      <c r="C200" s="29" t="s">
        <v>935</v>
      </c>
      <c r="D200" s="23" t="s">
        <v>936</v>
      </c>
      <c r="E200" s="24" t="s">
        <v>937</v>
      </c>
      <c r="F200" s="23" t="s">
        <v>938</v>
      </c>
      <c r="G200" s="25" t="s">
        <v>26</v>
      </c>
      <c r="H200" s="26" t="s">
        <v>939</v>
      </c>
      <c r="I200" s="26"/>
      <c r="J200" s="26"/>
      <c r="K200" s="26">
        <v>4</v>
      </c>
      <c r="L200" s="26">
        <f t="shared" si="15"/>
        <v>0</v>
      </c>
      <c r="M200" s="26"/>
      <c r="N200" s="26" t="str">
        <f t="shared" si="16"/>
        <v/>
      </c>
      <c r="O200" s="26" t="str">
        <f t="shared" si="17"/>
        <v/>
      </c>
      <c r="P200" s="26">
        <f t="shared" si="18"/>
        <v>20</v>
      </c>
      <c r="Q200" s="26" t="str">
        <f t="shared" si="19"/>
        <v/>
      </c>
      <c r="R200" s="27"/>
      <c r="S200" s="27" t="s">
        <v>28</v>
      </c>
      <c r="T200" s="27" t="s">
        <v>28</v>
      </c>
      <c r="U200" s="28"/>
    </row>
    <row r="201" spans="1:21" ht="72" customHeight="1" x14ac:dyDescent="0.25">
      <c r="A201" s="21">
        <v>200</v>
      </c>
      <c r="B201" s="23" t="s">
        <v>929</v>
      </c>
      <c r="C201" s="6" t="s">
        <v>940</v>
      </c>
      <c r="D201" s="23" t="s">
        <v>941</v>
      </c>
      <c r="E201" s="24" t="s">
        <v>942</v>
      </c>
      <c r="F201" s="23" t="s">
        <v>943</v>
      </c>
      <c r="G201" s="25" t="s">
        <v>26</v>
      </c>
      <c r="H201" s="26" t="s">
        <v>944</v>
      </c>
      <c r="I201" s="26"/>
      <c r="J201" s="26"/>
      <c r="K201" s="26">
        <v>3</v>
      </c>
      <c r="L201" s="26">
        <f t="shared" si="15"/>
        <v>0</v>
      </c>
      <c r="M201" s="26"/>
      <c r="N201" s="26" t="str">
        <f t="shared" si="16"/>
        <v/>
      </c>
      <c r="O201" s="26" t="str">
        <f t="shared" si="17"/>
        <v/>
      </c>
      <c r="P201" s="26">
        <f t="shared" si="18"/>
        <v>15</v>
      </c>
      <c r="Q201" s="26" t="str">
        <f t="shared" si="19"/>
        <v/>
      </c>
      <c r="R201" s="27"/>
      <c r="S201" s="27" t="s">
        <v>28</v>
      </c>
      <c r="T201" s="27" t="s">
        <v>28</v>
      </c>
      <c r="U201" s="28"/>
    </row>
    <row r="202" spans="1:21" ht="72" customHeight="1" x14ac:dyDescent="0.25">
      <c r="A202" s="21">
        <v>201</v>
      </c>
      <c r="B202" s="23" t="s">
        <v>929</v>
      </c>
      <c r="C202" s="29" t="s">
        <v>945</v>
      </c>
      <c r="D202" s="23" t="s">
        <v>946</v>
      </c>
      <c r="E202" s="24" t="s">
        <v>947</v>
      </c>
      <c r="F202" s="23" t="s">
        <v>948</v>
      </c>
      <c r="G202" s="25" t="s">
        <v>26</v>
      </c>
      <c r="H202" s="26" t="s">
        <v>949</v>
      </c>
      <c r="I202" s="26"/>
      <c r="J202" s="26"/>
      <c r="K202" s="26">
        <v>3</v>
      </c>
      <c r="L202" s="26">
        <f t="shared" si="15"/>
        <v>0</v>
      </c>
      <c r="M202" s="26"/>
      <c r="N202" s="26" t="str">
        <f t="shared" si="16"/>
        <v/>
      </c>
      <c r="O202" s="26" t="str">
        <f t="shared" si="17"/>
        <v/>
      </c>
      <c r="P202" s="26">
        <f t="shared" si="18"/>
        <v>15</v>
      </c>
      <c r="Q202" s="26" t="str">
        <f t="shared" si="19"/>
        <v/>
      </c>
      <c r="R202" s="27"/>
      <c r="S202" s="27" t="s">
        <v>28</v>
      </c>
      <c r="T202" s="27" t="s">
        <v>28</v>
      </c>
      <c r="U202" s="28"/>
    </row>
    <row r="203" spans="1:21" ht="72" customHeight="1" x14ac:dyDescent="0.25">
      <c r="A203" s="21">
        <v>202</v>
      </c>
      <c r="B203" s="8" t="s">
        <v>929</v>
      </c>
      <c r="C203" s="29" t="s">
        <v>950</v>
      </c>
      <c r="D203" s="8" t="s">
        <v>951</v>
      </c>
      <c r="E203" s="9" t="s">
        <v>952</v>
      </c>
      <c r="F203" s="8" t="s">
        <v>953</v>
      </c>
      <c r="G203" s="25" t="s">
        <v>26</v>
      </c>
      <c r="H203" s="26" t="s">
        <v>954</v>
      </c>
      <c r="I203" s="26"/>
      <c r="J203" s="26"/>
      <c r="K203" s="26">
        <v>4</v>
      </c>
      <c r="L203" s="26">
        <f t="shared" si="15"/>
        <v>0</v>
      </c>
      <c r="M203" s="26"/>
      <c r="N203" s="26" t="str">
        <f t="shared" si="16"/>
        <v/>
      </c>
      <c r="O203" s="26" t="str">
        <f t="shared" si="17"/>
        <v/>
      </c>
      <c r="P203" s="26">
        <f t="shared" si="18"/>
        <v>20</v>
      </c>
      <c r="Q203" s="26" t="str">
        <f t="shared" si="19"/>
        <v/>
      </c>
      <c r="R203" s="10" t="s">
        <v>28</v>
      </c>
      <c r="S203" s="10" t="s">
        <v>28</v>
      </c>
      <c r="T203" s="10" t="s">
        <v>28</v>
      </c>
      <c r="U203" s="11" t="s">
        <v>28</v>
      </c>
    </row>
    <row r="204" spans="1:21" ht="28.9" customHeight="1" x14ac:dyDescent="0.25">
      <c r="A204" s="21">
        <v>203</v>
      </c>
      <c r="B204" s="12" t="s">
        <v>929</v>
      </c>
      <c r="C204" s="6" t="s">
        <v>955</v>
      </c>
      <c r="D204" s="12" t="s">
        <v>956</v>
      </c>
      <c r="E204" s="6" t="s">
        <v>957</v>
      </c>
      <c r="F204" s="12" t="s">
        <v>958</v>
      </c>
      <c r="G204" s="25" t="s">
        <v>26</v>
      </c>
      <c r="H204" s="26" t="s">
        <v>959</v>
      </c>
      <c r="I204" s="26"/>
      <c r="J204" s="26"/>
      <c r="K204" s="26">
        <v>4</v>
      </c>
      <c r="L204" s="26">
        <f t="shared" si="15"/>
        <v>0</v>
      </c>
      <c r="M204" s="26"/>
      <c r="N204" s="26" t="str">
        <f t="shared" si="16"/>
        <v/>
      </c>
      <c r="O204" s="26" t="str">
        <f t="shared" si="17"/>
        <v/>
      </c>
      <c r="P204" s="26">
        <f t="shared" si="18"/>
        <v>20</v>
      </c>
      <c r="Q204" s="26" t="str">
        <f t="shared" si="19"/>
        <v/>
      </c>
      <c r="R204" s="10" t="s">
        <v>28</v>
      </c>
      <c r="S204" s="10" t="s">
        <v>28</v>
      </c>
      <c r="T204" s="10" t="s">
        <v>28</v>
      </c>
      <c r="U204" s="11" t="s">
        <v>28</v>
      </c>
    </row>
    <row r="205" spans="1:21" ht="57.6" customHeight="1" x14ac:dyDescent="0.25">
      <c r="A205" s="21">
        <v>204</v>
      </c>
      <c r="B205" s="8" t="s">
        <v>929</v>
      </c>
      <c r="C205" s="8" t="s">
        <v>960</v>
      </c>
      <c r="D205" s="8" t="s">
        <v>961</v>
      </c>
      <c r="E205" s="8" t="s">
        <v>962</v>
      </c>
      <c r="F205" s="8" t="s">
        <v>963</v>
      </c>
      <c r="G205" s="25" t="s">
        <v>26</v>
      </c>
      <c r="H205" s="26" t="s">
        <v>964</v>
      </c>
      <c r="I205" s="26"/>
      <c r="J205" s="26"/>
      <c r="K205" s="26">
        <v>5</v>
      </c>
      <c r="L205" s="26">
        <f t="shared" si="15"/>
        <v>0</v>
      </c>
      <c r="M205" s="26"/>
      <c r="N205" s="26" t="str">
        <f t="shared" si="16"/>
        <v/>
      </c>
      <c r="O205" s="26" t="str">
        <f t="shared" si="17"/>
        <v/>
      </c>
      <c r="P205" s="26">
        <f t="shared" si="18"/>
        <v>25</v>
      </c>
      <c r="Q205" s="26" t="str">
        <f t="shared" si="19"/>
        <v/>
      </c>
      <c r="R205" s="27" t="s">
        <v>28</v>
      </c>
      <c r="S205" s="27" t="s">
        <v>28</v>
      </c>
      <c r="T205" s="27" t="s">
        <v>28</v>
      </c>
      <c r="U205" s="28" t="s">
        <v>28</v>
      </c>
    </row>
    <row r="206" spans="1:21" ht="57.6" customHeight="1" x14ac:dyDescent="0.25">
      <c r="A206" s="21">
        <v>205</v>
      </c>
      <c r="B206" s="23" t="s">
        <v>929</v>
      </c>
      <c r="C206" s="6" t="s">
        <v>965</v>
      </c>
      <c r="D206" s="23" t="s">
        <v>966</v>
      </c>
      <c r="E206" s="24" t="s">
        <v>967</v>
      </c>
      <c r="F206" s="23" t="s">
        <v>968</v>
      </c>
      <c r="G206" s="25" t="s">
        <v>26</v>
      </c>
      <c r="H206" s="26" t="s">
        <v>969</v>
      </c>
      <c r="I206" s="26"/>
      <c r="J206" s="26"/>
      <c r="K206" s="26">
        <v>5</v>
      </c>
      <c r="L206" s="26">
        <f t="shared" si="15"/>
        <v>0</v>
      </c>
      <c r="M206" s="26"/>
      <c r="N206" s="26" t="str">
        <f t="shared" si="16"/>
        <v/>
      </c>
      <c r="O206" s="26" t="str">
        <f t="shared" si="17"/>
        <v/>
      </c>
      <c r="P206" s="26">
        <f t="shared" si="18"/>
        <v>25</v>
      </c>
      <c r="Q206" s="26" t="str">
        <f t="shared" si="19"/>
        <v/>
      </c>
      <c r="R206" s="27"/>
      <c r="S206" s="27" t="s">
        <v>28</v>
      </c>
      <c r="T206" s="27" t="s">
        <v>28</v>
      </c>
      <c r="U206" s="28"/>
    </row>
    <row r="207" spans="1:21" ht="57.6" customHeight="1" x14ac:dyDescent="0.25">
      <c r="A207" s="21">
        <v>206</v>
      </c>
      <c r="B207" s="23" t="s">
        <v>929</v>
      </c>
      <c r="C207" s="29" t="s">
        <v>970</v>
      </c>
      <c r="D207" s="23" t="s">
        <v>971</v>
      </c>
      <c r="E207" s="24" t="s">
        <v>972</v>
      </c>
      <c r="F207" s="23" t="s">
        <v>973</v>
      </c>
      <c r="G207" s="25" t="s">
        <v>26</v>
      </c>
      <c r="H207" s="26" t="s">
        <v>974</v>
      </c>
      <c r="I207" s="26"/>
      <c r="J207" s="26"/>
      <c r="K207" s="26">
        <v>4</v>
      </c>
      <c r="L207" s="26">
        <f t="shared" si="15"/>
        <v>0</v>
      </c>
      <c r="M207" s="26"/>
      <c r="N207" s="26" t="str">
        <f t="shared" si="16"/>
        <v/>
      </c>
      <c r="O207" s="26" t="str">
        <f t="shared" si="17"/>
        <v/>
      </c>
      <c r="P207" s="26">
        <f t="shared" si="18"/>
        <v>20</v>
      </c>
      <c r="Q207" s="26" t="str">
        <f t="shared" si="19"/>
        <v/>
      </c>
      <c r="R207" s="27"/>
      <c r="S207" s="27" t="s">
        <v>28</v>
      </c>
      <c r="T207" s="27" t="s">
        <v>28</v>
      </c>
      <c r="U207" s="28"/>
    </row>
    <row r="208" spans="1:21" ht="72" customHeight="1" x14ac:dyDescent="0.25">
      <c r="A208" s="21">
        <v>207</v>
      </c>
      <c r="B208" s="23" t="s">
        <v>929</v>
      </c>
      <c r="C208" s="29" t="s">
        <v>975</v>
      </c>
      <c r="D208" s="23" t="s">
        <v>976</v>
      </c>
      <c r="E208" s="24" t="s">
        <v>977</v>
      </c>
      <c r="F208" s="23" t="s">
        <v>978</v>
      </c>
      <c r="G208" s="25" t="s">
        <v>26</v>
      </c>
      <c r="H208" s="26" t="s">
        <v>979</v>
      </c>
      <c r="I208" s="26"/>
      <c r="J208" s="26"/>
      <c r="K208" s="26">
        <v>4</v>
      </c>
      <c r="L208" s="26">
        <f t="shared" si="15"/>
        <v>0</v>
      </c>
      <c r="M208" s="26"/>
      <c r="N208" s="26" t="str">
        <f t="shared" si="16"/>
        <v/>
      </c>
      <c r="O208" s="26" t="str">
        <f t="shared" si="17"/>
        <v/>
      </c>
      <c r="P208" s="26">
        <f t="shared" si="18"/>
        <v>20</v>
      </c>
      <c r="Q208" s="26" t="str">
        <f t="shared" si="19"/>
        <v/>
      </c>
      <c r="R208" s="27"/>
      <c r="S208" s="27" t="s">
        <v>28</v>
      </c>
      <c r="T208" s="27" t="s">
        <v>28</v>
      </c>
      <c r="U208" s="28"/>
    </row>
    <row r="209" spans="1:21" ht="72" customHeight="1" x14ac:dyDescent="0.25">
      <c r="A209" s="21">
        <v>208</v>
      </c>
      <c r="B209" s="23" t="s">
        <v>929</v>
      </c>
      <c r="C209" s="6" t="s">
        <v>980</v>
      </c>
      <c r="D209" s="23" t="s">
        <v>981</v>
      </c>
      <c r="E209" s="24" t="s">
        <v>982</v>
      </c>
      <c r="F209" s="23" t="s">
        <v>983</v>
      </c>
      <c r="G209" s="25" t="s">
        <v>26</v>
      </c>
      <c r="H209" s="26" t="s">
        <v>984</v>
      </c>
      <c r="I209" s="26"/>
      <c r="J209" s="26"/>
      <c r="K209" s="26">
        <v>4</v>
      </c>
      <c r="L209" s="26">
        <f t="shared" si="15"/>
        <v>0</v>
      </c>
      <c r="M209" s="26"/>
      <c r="N209" s="26" t="str">
        <f t="shared" si="16"/>
        <v/>
      </c>
      <c r="O209" s="26" t="str">
        <f t="shared" si="17"/>
        <v/>
      </c>
      <c r="P209" s="26">
        <f t="shared" si="18"/>
        <v>20</v>
      </c>
      <c r="Q209" s="26" t="str">
        <f t="shared" si="19"/>
        <v/>
      </c>
      <c r="R209" s="27"/>
      <c r="S209" s="27" t="s">
        <v>28</v>
      </c>
      <c r="T209" s="27" t="s">
        <v>28</v>
      </c>
      <c r="U209" s="28" t="s">
        <v>28</v>
      </c>
    </row>
    <row r="210" spans="1:21" ht="57.6" customHeight="1" x14ac:dyDescent="0.25">
      <c r="A210" s="21">
        <v>209</v>
      </c>
      <c r="B210" s="23" t="s">
        <v>929</v>
      </c>
      <c r="C210" s="29" t="s">
        <v>985</v>
      </c>
      <c r="D210" s="23" t="s">
        <v>986</v>
      </c>
      <c r="E210" s="24" t="s">
        <v>987</v>
      </c>
      <c r="F210" s="23" t="s">
        <v>988</v>
      </c>
      <c r="G210" s="25" t="s">
        <v>26</v>
      </c>
      <c r="H210" s="26" t="s">
        <v>989</v>
      </c>
      <c r="I210" s="26"/>
      <c r="J210" s="26"/>
      <c r="K210" s="26">
        <v>5</v>
      </c>
      <c r="L210" s="26">
        <f t="shared" si="15"/>
        <v>0</v>
      </c>
      <c r="M210" s="26"/>
      <c r="N210" s="26" t="str">
        <f t="shared" si="16"/>
        <v/>
      </c>
      <c r="O210" s="26" t="str">
        <f t="shared" si="17"/>
        <v/>
      </c>
      <c r="P210" s="26">
        <f t="shared" si="18"/>
        <v>25</v>
      </c>
      <c r="Q210" s="26" t="str">
        <f t="shared" si="19"/>
        <v/>
      </c>
      <c r="R210" s="27"/>
      <c r="S210" s="27" t="s">
        <v>28</v>
      </c>
      <c r="T210" s="27" t="s">
        <v>28</v>
      </c>
      <c r="U210" s="28"/>
    </row>
    <row r="211" spans="1:21" ht="57.6" customHeight="1" x14ac:dyDescent="0.25">
      <c r="A211" s="21">
        <v>210</v>
      </c>
      <c r="B211" s="23" t="s">
        <v>929</v>
      </c>
      <c r="C211" s="29" t="s">
        <v>990</v>
      </c>
      <c r="D211" s="23" t="s">
        <v>991</v>
      </c>
      <c r="E211" s="24" t="s">
        <v>992</v>
      </c>
      <c r="F211" s="23" t="s">
        <v>993</v>
      </c>
      <c r="G211" s="25" t="s">
        <v>26</v>
      </c>
      <c r="H211" s="26" t="s">
        <v>994</v>
      </c>
      <c r="I211" s="26"/>
      <c r="J211" s="26"/>
      <c r="K211" s="26">
        <v>4</v>
      </c>
      <c r="L211" s="26">
        <f t="shared" si="15"/>
        <v>0</v>
      </c>
      <c r="M211" s="26"/>
      <c r="N211" s="26" t="str">
        <f t="shared" si="16"/>
        <v/>
      </c>
      <c r="O211" s="26" t="str">
        <f t="shared" si="17"/>
        <v/>
      </c>
      <c r="P211" s="26">
        <f t="shared" si="18"/>
        <v>20</v>
      </c>
      <c r="Q211" s="26" t="str">
        <f t="shared" si="19"/>
        <v/>
      </c>
      <c r="R211" s="27"/>
      <c r="S211" s="27" t="s">
        <v>28</v>
      </c>
      <c r="T211" s="27" t="s">
        <v>28</v>
      </c>
      <c r="U211" s="28"/>
    </row>
    <row r="212" spans="1:21" ht="57.6" customHeight="1" x14ac:dyDescent="0.25">
      <c r="A212" s="21">
        <v>211</v>
      </c>
      <c r="B212" s="23" t="s">
        <v>929</v>
      </c>
      <c r="C212" s="29" t="s">
        <v>995</v>
      </c>
      <c r="D212" s="23" t="s">
        <v>996</v>
      </c>
      <c r="E212" s="24" t="s">
        <v>997</v>
      </c>
      <c r="F212" s="23" t="s">
        <v>998</v>
      </c>
      <c r="G212" s="25" t="s">
        <v>26</v>
      </c>
      <c r="H212" s="26" t="s">
        <v>999</v>
      </c>
      <c r="I212" s="26"/>
      <c r="J212" s="26"/>
      <c r="K212" s="26">
        <v>5</v>
      </c>
      <c r="L212" s="26">
        <f t="shared" si="15"/>
        <v>0</v>
      </c>
      <c r="M212" s="26"/>
      <c r="N212" s="26" t="str">
        <f t="shared" si="16"/>
        <v/>
      </c>
      <c r="O212" s="26" t="str">
        <f t="shared" si="17"/>
        <v/>
      </c>
      <c r="P212" s="26">
        <f t="shared" si="18"/>
        <v>25</v>
      </c>
      <c r="Q212" s="26" t="str">
        <f t="shared" si="19"/>
        <v/>
      </c>
      <c r="R212" s="27" t="s">
        <v>28</v>
      </c>
      <c r="S212" s="27" t="s">
        <v>28</v>
      </c>
      <c r="T212" s="27" t="s">
        <v>28</v>
      </c>
      <c r="U212" s="28" t="s">
        <v>28</v>
      </c>
    </row>
    <row r="213" spans="1:21" ht="72" customHeight="1" x14ac:dyDescent="0.25">
      <c r="A213" s="21">
        <v>212</v>
      </c>
      <c r="B213" s="23" t="s">
        <v>929</v>
      </c>
      <c r="C213" s="6" t="s">
        <v>1000</v>
      </c>
      <c r="D213" s="23" t="s">
        <v>1001</v>
      </c>
      <c r="E213" s="24" t="s">
        <v>1002</v>
      </c>
      <c r="F213" s="23" t="s">
        <v>1003</v>
      </c>
      <c r="G213" s="25" t="s">
        <v>26</v>
      </c>
      <c r="H213" s="26" t="s">
        <v>1004</v>
      </c>
      <c r="I213" s="26"/>
      <c r="J213" s="26"/>
      <c r="K213" s="26">
        <v>3</v>
      </c>
      <c r="L213" s="26">
        <f t="shared" si="15"/>
        <v>0</v>
      </c>
      <c r="M213" s="26"/>
      <c r="N213" s="26" t="str">
        <f t="shared" si="16"/>
        <v/>
      </c>
      <c r="O213" s="26" t="str">
        <f t="shared" si="17"/>
        <v/>
      </c>
      <c r="P213" s="26">
        <f t="shared" si="18"/>
        <v>15</v>
      </c>
      <c r="Q213" s="26" t="str">
        <f t="shared" si="19"/>
        <v/>
      </c>
      <c r="R213" s="27"/>
      <c r="S213" s="27" t="s">
        <v>28</v>
      </c>
      <c r="T213" s="27" t="s">
        <v>28</v>
      </c>
      <c r="U213" s="28"/>
    </row>
    <row r="214" spans="1:21" ht="72" customHeight="1" x14ac:dyDescent="0.25">
      <c r="A214" s="21">
        <v>213</v>
      </c>
      <c r="B214" s="23" t="s">
        <v>929</v>
      </c>
      <c r="C214" s="29" t="s">
        <v>1005</v>
      </c>
      <c r="D214" s="23" t="s">
        <v>1006</v>
      </c>
      <c r="E214" s="24" t="s">
        <v>1007</v>
      </c>
      <c r="F214" s="23" t="s">
        <v>1008</v>
      </c>
      <c r="G214" s="25" t="s">
        <v>26</v>
      </c>
      <c r="H214" s="26" t="s">
        <v>1009</v>
      </c>
      <c r="I214" s="26"/>
      <c r="J214" s="26"/>
      <c r="K214" s="26">
        <v>4</v>
      </c>
      <c r="L214" s="26">
        <f t="shared" si="15"/>
        <v>0</v>
      </c>
      <c r="M214" s="26"/>
      <c r="N214" s="26" t="str">
        <f t="shared" si="16"/>
        <v/>
      </c>
      <c r="O214" s="26" t="str">
        <f t="shared" si="17"/>
        <v/>
      </c>
      <c r="P214" s="26">
        <f t="shared" si="18"/>
        <v>20</v>
      </c>
      <c r="Q214" s="26" t="str">
        <f t="shared" si="19"/>
        <v/>
      </c>
      <c r="R214" s="27"/>
      <c r="S214" s="27" t="s">
        <v>28</v>
      </c>
      <c r="T214" s="27"/>
      <c r="U214" s="28"/>
    </row>
    <row r="215" spans="1:21" ht="72" customHeight="1" x14ac:dyDescent="0.25">
      <c r="A215" s="21">
        <v>214</v>
      </c>
      <c r="B215" s="23" t="s">
        <v>929</v>
      </c>
      <c r="C215" s="29" t="s">
        <v>1010</v>
      </c>
      <c r="D215" s="23" t="s">
        <v>1011</v>
      </c>
      <c r="E215" s="24" t="s">
        <v>1012</v>
      </c>
      <c r="F215" s="23" t="s">
        <v>1013</v>
      </c>
      <c r="G215" s="25" t="s">
        <v>26</v>
      </c>
      <c r="H215" s="26" t="s">
        <v>1014</v>
      </c>
      <c r="I215" s="26"/>
      <c r="J215" s="26"/>
      <c r="K215" s="26">
        <v>4</v>
      </c>
      <c r="L215" s="26">
        <f t="shared" si="15"/>
        <v>0</v>
      </c>
      <c r="M215" s="26"/>
      <c r="N215" s="26" t="str">
        <f t="shared" si="16"/>
        <v/>
      </c>
      <c r="O215" s="26" t="str">
        <f t="shared" si="17"/>
        <v/>
      </c>
      <c r="P215" s="26">
        <f t="shared" si="18"/>
        <v>20</v>
      </c>
      <c r="Q215" s="26" t="str">
        <f t="shared" si="19"/>
        <v/>
      </c>
      <c r="R215" s="27"/>
      <c r="S215" s="27" t="s">
        <v>28</v>
      </c>
      <c r="T215" s="27" t="s">
        <v>28</v>
      </c>
      <c r="U215" s="28"/>
    </row>
    <row r="216" spans="1:21" ht="72" customHeight="1" x14ac:dyDescent="0.25">
      <c r="A216" s="21">
        <v>215</v>
      </c>
      <c r="B216" s="23" t="s">
        <v>929</v>
      </c>
      <c r="C216" s="29" t="s">
        <v>1015</v>
      </c>
      <c r="D216" s="23" t="s">
        <v>1016</v>
      </c>
      <c r="E216" s="24" t="s">
        <v>1017</v>
      </c>
      <c r="F216" s="23" t="s">
        <v>1018</v>
      </c>
      <c r="G216" s="25" t="s">
        <v>26</v>
      </c>
      <c r="H216" s="26" t="s">
        <v>1019</v>
      </c>
      <c r="I216" s="26"/>
      <c r="J216" s="26"/>
      <c r="K216" s="26">
        <v>3</v>
      </c>
      <c r="L216" s="26">
        <f t="shared" si="15"/>
        <v>0</v>
      </c>
      <c r="M216" s="26"/>
      <c r="N216" s="26" t="str">
        <f t="shared" si="16"/>
        <v/>
      </c>
      <c r="O216" s="26" t="str">
        <f t="shared" si="17"/>
        <v/>
      </c>
      <c r="P216" s="26">
        <f t="shared" si="18"/>
        <v>15</v>
      </c>
      <c r="Q216" s="26" t="str">
        <f t="shared" si="19"/>
        <v/>
      </c>
      <c r="R216" s="27"/>
      <c r="S216" s="27" t="s">
        <v>28</v>
      </c>
      <c r="T216" s="27"/>
      <c r="U216" s="28"/>
    </row>
    <row r="217" spans="1:21" ht="57.6" customHeight="1" x14ac:dyDescent="0.25">
      <c r="A217" s="21">
        <v>216</v>
      </c>
      <c r="B217" s="23" t="s">
        <v>929</v>
      </c>
      <c r="C217" s="6" t="s">
        <v>1020</v>
      </c>
      <c r="D217" s="23" t="s">
        <v>1021</v>
      </c>
      <c r="E217" s="24" t="s">
        <v>1022</v>
      </c>
      <c r="F217" s="23" t="s">
        <v>1023</v>
      </c>
      <c r="G217" s="25" t="s">
        <v>26</v>
      </c>
      <c r="H217" s="26" t="s">
        <v>1024</v>
      </c>
      <c r="I217" s="26"/>
      <c r="J217" s="26"/>
      <c r="K217" s="26">
        <v>3</v>
      </c>
      <c r="L217" s="26">
        <f t="shared" si="15"/>
        <v>0</v>
      </c>
      <c r="M217" s="26"/>
      <c r="N217" s="26" t="str">
        <f t="shared" si="16"/>
        <v/>
      </c>
      <c r="O217" s="26" t="str">
        <f t="shared" si="17"/>
        <v/>
      </c>
      <c r="P217" s="26">
        <f t="shared" si="18"/>
        <v>15</v>
      </c>
      <c r="Q217" s="26" t="str">
        <f t="shared" si="19"/>
        <v/>
      </c>
      <c r="R217" s="27" t="s">
        <v>28</v>
      </c>
      <c r="S217" s="27" t="s">
        <v>28</v>
      </c>
      <c r="T217" s="27" t="s">
        <v>28</v>
      </c>
      <c r="U217" s="28"/>
    </row>
    <row r="218" spans="1:21" ht="72" customHeight="1" x14ac:dyDescent="0.25">
      <c r="A218" s="21">
        <v>217</v>
      </c>
      <c r="B218" s="23" t="s">
        <v>929</v>
      </c>
      <c r="C218" s="6" t="s">
        <v>1025</v>
      </c>
      <c r="D218" s="23" t="s">
        <v>1026</v>
      </c>
      <c r="E218" s="24" t="s">
        <v>1027</v>
      </c>
      <c r="F218" s="23" t="s">
        <v>1028</v>
      </c>
      <c r="G218" s="25" t="s">
        <v>26</v>
      </c>
      <c r="H218" s="26" t="s">
        <v>1029</v>
      </c>
      <c r="I218" s="26"/>
      <c r="J218" s="26"/>
      <c r="K218" s="26">
        <v>2</v>
      </c>
      <c r="L218" s="26">
        <f t="shared" si="15"/>
        <v>0</v>
      </c>
      <c r="M218" s="26"/>
      <c r="N218" s="26" t="str">
        <f t="shared" si="16"/>
        <v/>
      </c>
      <c r="O218" s="26" t="str">
        <f t="shared" si="17"/>
        <v/>
      </c>
      <c r="P218" s="26">
        <f t="shared" si="18"/>
        <v>10</v>
      </c>
      <c r="Q218" s="26" t="str">
        <f t="shared" si="19"/>
        <v/>
      </c>
      <c r="R218" s="27"/>
      <c r="S218" s="27" t="s">
        <v>28</v>
      </c>
      <c r="T218" s="27"/>
      <c r="U218" s="28"/>
    </row>
    <row r="219" spans="1:21" ht="72" customHeight="1" x14ac:dyDescent="0.25">
      <c r="A219" s="21">
        <v>218</v>
      </c>
      <c r="B219" s="23" t="s">
        <v>929</v>
      </c>
      <c r="C219" s="6" t="s">
        <v>1030</v>
      </c>
      <c r="D219" s="23" t="s">
        <v>1031</v>
      </c>
      <c r="E219" s="24" t="s">
        <v>1032</v>
      </c>
      <c r="F219" s="23" t="s">
        <v>1033</v>
      </c>
      <c r="G219" s="25" t="s">
        <v>26</v>
      </c>
      <c r="H219" s="26" t="s">
        <v>1034</v>
      </c>
      <c r="I219" s="26"/>
      <c r="J219" s="26"/>
      <c r="K219" s="26">
        <v>4</v>
      </c>
      <c r="L219" s="26">
        <f t="shared" si="15"/>
        <v>0</v>
      </c>
      <c r="M219" s="26"/>
      <c r="N219" s="26" t="str">
        <f t="shared" si="16"/>
        <v/>
      </c>
      <c r="O219" s="26" t="str">
        <f t="shared" si="17"/>
        <v/>
      </c>
      <c r="P219" s="26">
        <f t="shared" si="18"/>
        <v>20</v>
      </c>
      <c r="Q219" s="26" t="str">
        <f t="shared" si="19"/>
        <v/>
      </c>
      <c r="R219" s="27"/>
      <c r="S219" s="27" t="s">
        <v>28</v>
      </c>
      <c r="T219" s="27" t="s">
        <v>28</v>
      </c>
      <c r="U219" s="28"/>
    </row>
    <row r="220" spans="1:21" ht="28.9" customHeight="1" x14ac:dyDescent="0.25">
      <c r="A220" s="21">
        <v>219</v>
      </c>
      <c r="B220" s="23" t="s">
        <v>929</v>
      </c>
      <c r="C220" s="6" t="s">
        <v>1035</v>
      </c>
      <c r="D220" s="23" t="s">
        <v>1036</v>
      </c>
      <c r="E220" s="24" t="s">
        <v>1037</v>
      </c>
      <c r="F220" s="23" t="s">
        <v>1038</v>
      </c>
      <c r="G220" s="25" t="s">
        <v>26</v>
      </c>
      <c r="H220" s="26" t="s">
        <v>1039</v>
      </c>
      <c r="I220" s="26"/>
      <c r="J220" s="26"/>
      <c r="K220" s="26">
        <v>4</v>
      </c>
      <c r="L220" s="26">
        <f t="shared" si="15"/>
        <v>0</v>
      </c>
      <c r="M220" s="26"/>
      <c r="N220" s="26" t="str">
        <f t="shared" si="16"/>
        <v/>
      </c>
      <c r="O220" s="26" t="str">
        <f t="shared" si="17"/>
        <v/>
      </c>
      <c r="P220" s="26">
        <f t="shared" si="18"/>
        <v>20</v>
      </c>
      <c r="Q220" s="26" t="str">
        <f t="shared" si="19"/>
        <v/>
      </c>
      <c r="R220" s="27" t="s">
        <v>28</v>
      </c>
      <c r="S220" s="27" t="s">
        <v>28</v>
      </c>
      <c r="T220" s="27" t="s">
        <v>28</v>
      </c>
      <c r="U220" s="28"/>
    </row>
    <row r="221" spans="1:21" ht="72" customHeight="1" x14ac:dyDescent="0.25">
      <c r="A221" s="21">
        <v>220</v>
      </c>
      <c r="B221" s="23" t="s">
        <v>929</v>
      </c>
      <c r="C221" s="6" t="s">
        <v>1040</v>
      </c>
      <c r="D221" s="23" t="s">
        <v>1041</v>
      </c>
      <c r="E221" s="24" t="s">
        <v>1042</v>
      </c>
      <c r="F221" s="23" t="s">
        <v>1043</v>
      </c>
      <c r="G221" s="25" t="s">
        <v>26</v>
      </c>
      <c r="H221" s="26" t="s">
        <v>1044</v>
      </c>
      <c r="I221" s="26"/>
      <c r="J221" s="26"/>
      <c r="K221" s="26">
        <v>5</v>
      </c>
      <c r="L221" s="26">
        <f t="shared" si="15"/>
        <v>0</v>
      </c>
      <c r="M221" s="26"/>
      <c r="N221" s="26" t="str">
        <f t="shared" si="16"/>
        <v/>
      </c>
      <c r="O221" s="26" t="str">
        <f t="shared" si="17"/>
        <v/>
      </c>
      <c r="P221" s="26">
        <f t="shared" si="18"/>
        <v>25</v>
      </c>
      <c r="Q221" s="26" t="str">
        <f t="shared" si="19"/>
        <v/>
      </c>
      <c r="R221" s="27"/>
      <c r="S221" s="27" t="s">
        <v>28</v>
      </c>
      <c r="T221" s="27" t="s">
        <v>28</v>
      </c>
      <c r="U221" s="28"/>
    </row>
    <row r="222" spans="1:21" ht="72" customHeight="1" x14ac:dyDescent="0.25">
      <c r="A222" s="21">
        <v>221</v>
      </c>
      <c r="B222" s="23" t="s">
        <v>929</v>
      </c>
      <c r="C222" s="29" t="s">
        <v>1045</v>
      </c>
      <c r="D222" s="23" t="s">
        <v>1046</v>
      </c>
      <c r="E222" s="24" t="s">
        <v>1047</v>
      </c>
      <c r="F222" s="23" t="s">
        <v>1048</v>
      </c>
      <c r="G222" s="25" t="s">
        <v>26</v>
      </c>
      <c r="H222" s="26" t="s">
        <v>1049</v>
      </c>
      <c r="I222" s="26"/>
      <c r="J222" s="26"/>
      <c r="K222" s="26">
        <v>5</v>
      </c>
      <c r="L222" s="26">
        <f t="shared" si="15"/>
        <v>0</v>
      </c>
      <c r="M222" s="26"/>
      <c r="N222" s="26" t="str">
        <f t="shared" si="16"/>
        <v/>
      </c>
      <c r="O222" s="26" t="str">
        <f t="shared" si="17"/>
        <v/>
      </c>
      <c r="P222" s="26">
        <f t="shared" si="18"/>
        <v>25</v>
      </c>
      <c r="Q222" s="26" t="str">
        <f t="shared" si="19"/>
        <v/>
      </c>
      <c r="R222" s="27"/>
      <c r="S222" s="27" t="s">
        <v>28</v>
      </c>
      <c r="T222" s="27" t="s">
        <v>28</v>
      </c>
      <c r="U222" s="28" t="s">
        <v>28</v>
      </c>
    </row>
    <row r="223" spans="1:21" ht="57.6" customHeight="1" x14ac:dyDescent="0.25">
      <c r="A223" s="21">
        <v>222</v>
      </c>
      <c r="B223" s="23" t="s">
        <v>929</v>
      </c>
      <c r="C223" s="6" t="s">
        <v>1050</v>
      </c>
      <c r="D223" s="23" t="s">
        <v>1046</v>
      </c>
      <c r="E223" s="24" t="s">
        <v>1047</v>
      </c>
      <c r="F223" s="23" t="s">
        <v>1048</v>
      </c>
      <c r="G223" s="25" t="s">
        <v>26</v>
      </c>
      <c r="H223" s="26" t="s">
        <v>1051</v>
      </c>
      <c r="I223" s="26"/>
      <c r="J223" s="26"/>
      <c r="K223" s="26">
        <v>5</v>
      </c>
      <c r="L223" s="26">
        <f t="shared" si="15"/>
        <v>0</v>
      </c>
      <c r="M223" s="26"/>
      <c r="N223" s="26" t="str">
        <f t="shared" si="16"/>
        <v/>
      </c>
      <c r="O223" s="26" t="str">
        <f t="shared" si="17"/>
        <v/>
      </c>
      <c r="P223" s="26">
        <f t="shared" si="18"/>
        <v>25</v>
      </c>
      <c r="Q223" s="26" t="str">
        <f t="shared" si="19"/>
        <v/>
      </c>
      <c r="R223" s="27" t="s">
        <v>28</v>
      </c>
      <c r="S223" s="27" t="s">
        <v>28</v>
      </c>
      <c r="T223" s="27" t="s">
        <v>28</v>
      </c>
      <c r="U223" s="28" t="s">
        <v>28</v>
      </c>
    </row>
    <row r="224" spans="1:21" ht="57.6" customHeight="1" x14ac:dyDescent="0.25">
      <c r="A224" s="21">
        <v>223</v>
      </c>
      <c r="B224" s="23" t="s">
        <v>929</v>
      </c>
      <c r="C224" s="29" t="s">
        <v>1052</v>
      </c>
      <c r="D224" s="23" t="s">
        <v>1053</v>
      </c>
      <c r="E224" s="24" t="s">
        <v>1054</v>
      </c>
      <c r="F224" s="23" t="s">
        <v>1055</v>
      </c>
      <c r="G224" s="25" t="s">
        <v>26</v>
      </c>
      <c r="H224" s="26" t="s">
        <v>1056</v>
      </c>
      <c r="I224" s="26"/>
      <c r="J224" s="26"/>
      <c r="K224" s="26">
        <v>3</v>
      </c>
      <c r="L224" s="26">
        <f t="shared" si="15"/>
        <v>0</v>
      </c>
      <c r="M224" s="26"/>
      <c r="N224" s="26" t="str">
        <f t="shared" si="16"/>
        <v/>
      </c>
      <c r="O224" s="26" t="str">
        <f t="shared" si="17"/>
        <v/>
      </c>
      <c r="P224" s="26">
        <f t="shared" si="18"/>
        <v>15</v>
      </c>
      <c r="Q224" s="26" t="str">
        <f t="shared" si="19"/>
        <v/>
      </c>
      <c r="R224" s="27"/>
      <c r="S224" s="27" t="s">
        <v>28</v>
      </c>
      <c r="T224" s="27" t="s">
        <v>28</v>
      </c>
      <c r="U224" s="28" t="s">
        <v>28</v>
      </c>
    </row>
    <row r="225" spans="1:21" ht="57.6" customHeight="1" x14ac:dyDescent="0.25">
      <c r="A225" s="21">
        <v>224</v>
      </c>
      <c r="B225" s="23" t="s">
        <v>929</v>
      </c>
      <c r="C225" s="6" t="s">
        <v>1057</v>
      </c>
      <c r="D225" s="23" t="s">
        <v>1058</v>
      </c>
      <c r="E225" s="24" t="s">
        <v>1059</v>
      </c>
      <c r="F225" s="23" t="s">
        <v>1060</v>
      </c>
      <c r="G225" s="25" t="s">
        <v>26</v>
      </c>
      <c r="H225" s="26" t="s">
        <v>1061</v>
      </c>
      <c r="I225" s="26"/>
      <c r="J225" s="26"/>
      <c r="K225" s="26">
        <v>4</v>
      </c>
      <c r="L225" s="26">
        <f t="shared" si="15"/>
        <v>0</v>
      </c>
      <c r="M225" s="26"/>
      <c r="N225" s="26" t="str">
        <f t="shared" si="16"/>
        <v/>
      </c>
      <c r="O225" s="26" t="str">
        <f t="shared" si="17"/>
        <v/>
      </c>
      <c r="P225" s="26">
        <f t="shared" si="18"/>
        <v>20</v>
      </c>
      <c r="Q225" s="26" t="str">
        <f t="shared" si="19"/>
        <v/>
      </c>
      <c r="R225" s="27" t="s">
        <v>28</v>
      </c>
      <c r="S225" s="27" t="s">
        <v>28</v>
      </c>
      <c r="T225" s="27" t="s">
        <v>28</v>
      </c>
      <c r="U225" s="28" t="s">
        <v>28</v>
      </c>
    </row>
    <row r="226" spans="1:21" ht="57.6" customHeight="1" x14ac:dyDescent="0.25">
      <c r="A226" s="21">
        <v>225</v>
      </c>
      <c r="B226" s="23" t="s">
        <v>929</v>
      </c>
      <c r="C226" s="29" t="s">
        <v>1062</v>
      </c>
      <c r="D226" s="23" t="s">
        <v>1063</v>
      </c>
      <c r="E226" s="24" t="s">
        <v>1064</v>
      </c>
      <c r="F226" s="23" t="s">
        <v>1065</v>
      </c>
      <c r="G226" s="25" t="s">
        <v>26</v>
      </c>
      <c r="H226" s="26" t="s">
        <v>1066</v>
      </c>
      <c r="I226" s="26"/>
      <c r="J226" s="26"/>
      <c r="K226" s="26">
        <v>3</v>
      </c>
      <c r="L226" s="26">
        <f t="shared" si="15"/>
        <v>0</v>
      </c>
      <c r="M226" s="26"/>
      <c r="N226" s="26" t="str">
        <f t="shared" si="16"/>
        <v/>
      </c>
      <c r="O226" s="26" t="str">
        <f t="shared" si="17"/>
        <v/>
      </c>
      <c r="P226" s="26">
        <f t="shared" si="18"/>
        <v>15</v>
      </c>
      <c r="Q226" s="26" t="str">
        <f t="shared" si="19"/>
        <v/>
      </c>
      <c r="R226" s="27"/>
      <c r="S226" s="27" t="s">
        <v>28</v>
      </c>
      <c r="T226" s="27" t="s">
        <v>28</v>
      </c>
      <c r="U226" s="28" t="s">
        <v>28</v>
      </c>
    </row>
    <row r="227" spans="1:21" ht="57.6" customHeight="1" x14ac:dyDescent="0.25">
      <c r="A227" s="21">
        <v>226</v>
      </c>
      <c r="B227" s="23" t="s">
        <v>929</v>
      </c>
      <c r="C227" s="43" t="s">
        <v>1067</v>
      </c>
      <c r="D227" s="23" t="s">
        <v>1068</v>
      </c>
      <c r="E227" s="32" t="s">
        <v>1069</v>
      </c>
      <c r="F227" s="23" t="s">
        <v>1070</v>
      </c>
      <c r="G227" s="25" t="s">
        <v>26</v>
      </c>
      <c r="H227" s="26" t="s">
        <v>1071</v>
      </c>
      <c r="I227" s="26"/>
      <c r="J227" s="26"/>
      <c r="K227" s="26">
        <v>5</v>
      </c>
      <c r="L227" s="26">
        <f t="shared" si="15"/>
        <v>0</v>
      </c>
      <c r="M227" s="26"/>
      <c r="N227" s="26" t="str">
        <f t="shared" si="16"/>
        <v/>
      </c>
      <c r="O227" s="26" t="str">
        <f t="shared" si="17"/>
        <v/>
      </c>
      <c r="P227" s="26">
        <f t="shared" si="18"/>
        <v>25</v>
      </c>
      <c r="Q227" s="26" t="str">
        <f t="shared" si="19"/>
        <v/>
      </c>
      <c r="R227" s="33"/>
      <c r="S227" s="33" t="s">
        <v>28</v>
      </c>
      <c r="T227" s="33" t="s">
        <v>28</v>
      </c>
      <c r="U227" s="34"/>
    </row>
    <row r="228" spans="1:21" ht="57.6" customHeight="1" x14ac:dyDescent="0.25">
      <c r="A228" s="21">
        <v>227</v>
      </c>
      <c r="B228" s="23" t="s">
        <v>929</v>
      </c>
      <c r="C228" s="43" t="s">
        <v>1072</v>
      </c>
      <c r="D228" s="23" t="s">
        <v>1073</v>
      </c>
      <c r="E228" s="32" t="s">
        <v>1074</v>
      </c>
      <c r="F228" s="23" t="s">
        <v>1075</v>
      </c>
      <c r="G228" s="25" t="s">
        <v>26</v>
      </c>
      <c r="H228" s="26" t="s">
        <v>1076</v>
      </c>
      <c r="I228" s="26"/>
      <c r="J228" s="26"/>
      <c r="K228" s="26">
        <v>4</v>
      </c>
      <c r="L228" s="26">
        <f t="shared" si="15"/>
        <v>0</v>
      </c>
      <c r="M228" s="26"/>
      <c r="N228" s="26" t="str">
        <f t="shared" si="16"/>
        <v/>
      </c>
      <c r="O228" s="26" t="str">
        <f t="shared" si="17"/>
        <v/>
      </c>
      <c r="P228" s="26">
        <f t="shared" si="18"/>
        <v>20</v>
      </c>
      <c r="Q228" s="26" t="str">
        <f t="shared" si="19"/>
        <v/>
      </c>
      <c r="R228" s="33" t="s">
        <v>28</v>
      </c>
      <c r="S228" s="33" t="s">
        <v>28</v>
      </c>
      <c r="T228" s="33" t="s">
        <v>28</v>
      </c>
      <c r="U228" s="34" t="s">
        <v>28</v>
      </c>
    </row>
    <row r="229" spans="1:21" ht="57.6" customHeight="1" x14ac:dyDescent="0.25">
      <c r="A229" s="21">
        <v>228</v>
      </c>
      <c r="B229" s="23" t="s">
        <v>929</v>
      </c>
      <c r="C229" s="43" t="s">
        <v>1077</v>
      </c>
      <c r="D229" s="23" t="s">
        <v>1078</v>
      </c>
      <c r="E229" s="32" t="s">
        <v>1079</v>
      </c>
      <c r="F229" s="23" t="s">
        <v>1080</v>
      </c>
      <c r="G229" s="25" t="s">
        <v>26</v>
      </c>
      <c r="H229" s="26" t="s">
        <v>1081</v>
      </c>
      <c r="I229" s="26"/>
      <c r="J229" s="26"/>
      <c r="K229" s="26">
        <v>5</v>
      </c>
      <c r="L229" s="26">
        <f t="shared" si="15"/>
        <v>0</v>
      </c>
      <c r="M229" s="26"/>
      <c r="N229" s="26" t="str">
        <f t="shared" si="16"/>
        <v/>
      </c>
      <c r="O229" s="26" t="str">
        <f t="shared" si="17"/>
        <v/>
      </c>
      <c r="P229" s="26">
        <f t="shared" si="18"/>
        <v>25</v>
      </c>
      <c r="Q229" s="26" t="str">
        <f t="shared" si="19"/>
        <v/>
      </c>
      <c r="R229" s="33" t="s">
        <v>28</v>
      </c>
      <c r="S229" s="33" t="s">
        <v>28</v>
      </c>
      <c r="T229" s="33" t="s">
        <v>28</v>
      </c>
      <c r="U229" s="34" t="s">
        <v>28</v>
      </c>
    </row>
    <row r="230" spans="1:21" ht="72" customHeight="1" x14ac:dyDescent="0.25">
      <c r="A230" s="21">
        <v>229</v>
      </c>
      <c r="B230" s="23" t="s">
        <v>929</v>
      </c>
      <c r="C230" s="43" t="s">
        <v>1082</v>
      </c>
      <c r="D230" s="23" t="s">
        <v>1083</v>
      </c>
      <c r="E230" s="32" t="s">
        <v>1084</v>
      </c>
      <c r="F230" s="23" t="s">
        <v>1085</v>
      </c>
      <c r="G230" s="25" t="s">
        <v>26</v>
      </c>
      <c r="H230" s="26" t="s">
        <v>1086</v>
      </c>
      <c r="I230" s="26"/>
      <c r="J230" s="26"/>
      <c r="K230" s="26">
        <v>4</v>
      </c>
      <c r="L230" s="26">
        <f t="shared" si="15"/>
        <v>0</v>
      </c>
      <c r="M230" s="26"/>
      <c r="N230" s="26" t="str">
        <f t="shared" si="16"/>
        <v/>
      </c>
      <c r="O230" s="26" t="str">
        <f t="shared" si="17"/>
        <v/>
      </c>
      <c r="P230" s="26">
        <f t="shared" si="18"/>
        <v>20</v>
      </c>
      <c r="Q230" s="26" t="str">
        <f t="shared" si="19"/>
        <v/>
      </c>
      <c r="R230" s="33"/>
      <c r="S230" s="33" t="s">
        <v>28</v>
      </c>
      <c r="T230" s="33" t="s">
        <v>28</v>
      </c>
      <c r="U230" s="34"/>
    </row>
    <row r="231" spans="1:21" ht="57.6" customHeight="1" x14ac:dyDescent="0.25">
      <c r="A231" s="21">
        <v>230</v>
      </c>
      <c r="B231" s="23" t="s">
        <v>929</v>
      </c>
      <c r="C231" s="43" t="s">
        <v>1087</v>
      </c>
      <c r="D231" s="23" t="s">
        <v>1088</v>
      </c>
      <c r="E231" s="32" t="s">
        <v>1089</v>
      </c>
      <c r="F231" s="23" t="s">
        <v>1090</v>
      </c>
      <c r="G231" s="25" t="s">
        <v>26</v>
      </c>
      <c r="H231" s="26" t="s">
        <v>1091</v>
      </c>
      <c r="I231" s="26"/>
      <c r="J231" s="26"/>
      <c r="K231" s="26">
        <v>4</v>
      </c>
      <c r="L231" s="26">
        <f t="shared" si="15"/>
        <v>0</v>
      </c>
      <c r="M231" s="26"/>
      <c r="N231" s="26" t="str">
        <f t="shared" si="16"/>
        <v/>
      </c>
      <c r="O231" s="26" t="str">
        <f t="shared" si="17"/>
        <v/>
      </c>
      <c r="P231" s="26">
        <f t="shared" si="18"/>
        <v>20</v>
      </c>
      <c r="Q231" s="26" t="str">
        <f t="shared" si="19"/>
        <v/>
      </c>
      <c r="R231" s="33" t="s">
        <v>28</v>
      </c>
      <c r="S231" s="33" t="s">
        <v>28</v>
      </c>
      <c r="T231" s="33" t="s">
        <v>28</v>
      </c>
      <c r="U231" s="34" t="s">
        <v>28</v>
      </c>
    </row>
    <row r="232" spans="1:21" ht="57.6" customHeight="1" x14ac:dyDescent="0.25">
      <c r="A232" s="21">
        <v>231</v>
      </c>
      <c r="B232" s="23" t="s">
        <v>929</v>
      </c>
      <c r="C232" s="43" t="s">
        <v>1092</v>
      </c>
      <c r="D232" s="23" t="s">
        <v>1093</v>
      </c>
      <c r="E232" s="32" t="s">
        <v>1094</v>
      </c>
      <c r="F232" s="23" t="s">
        <v>1095</v>
      </c>
      <c r="G232" s="25" t="s">
        <v>26</v>
      </c>
      <c r="H232" s="26" t="s">
        <v>1096</v>
      </c>
      <c r="I232" s="26"/>
      <c r="J232" s="26"/>
      <c r="K232" s="26">
        <v>5</v>
      </c>
      <c r="L232" s="26">
        <f t="shared" si="15"/>
        <v>0</v>
      </c>
      <c r="M232" s="26"/>
      <c r="N232" s="26" t="str">
        <f t="shared" si="16"/>
        <v/>
      </c>
      <c r="O232" s="26" t="str">
        <f t="shared" si="17"/>
        <v/>
      </c>
      <c r="P232" s="26">
        <f t="shared" si="18"/>
        <v>25</v>
      </c>
      <c r="Q232" s="26" t="str">
        <f t="shared" si="19"/>
        <v/>
      </c>
      <c r="R232" s="33"/>
      <c r="S232" s="33" t="s">
        <v>28</v>
      </c>
      <c r="T232" s="33"/>
      <c r="U232" s="34"/>
    </row>
    <row r="233" spans="1:21" ht="57.6" customHeight="1" x14ac:dyDescent="0.25">
      <c r="A233" s="21">
        <v>232</v>
      </c>
      <c r="B233" s="23" t="s">
        <v>929</v>
      </c>
      <c r="C233" s="43" t="s">
        <v>1097</v>
      </c>
      <c r="D233" s="23" t="s">
        <v>1098</v>
      </c>
      <c r="E233" s="32" t="s">
        <v>1099</v>
      </c>
      <c r="F233" s="23" t="s">
        <v>1100</v>
      </c>
      <c r="G233" s="25" t="s">
        <v>26</v>
      </c>
      <c r="H233" s="26" t="s">
        <v>1101</v>
      </c>
      <c r="I233" s="26"/>
      <c r="J233" s="26"/>
      <c r="K233" s="26">
        <v>4</v>
      </c>
      <c r="L233" s="26">
        <f t="shared" si="15"/>
        <v>0</v>
      </c>
      <c r="M233" s="26"/>
      <c r="N233" s="26" t="str">
        <f t="shared" si="16"/>
        <v/>
      </c>
      <c r="O233" s="26" t="str">
        <f t="shared" si="17"/>
        <v/>
      </c>
      <c r="P233" s="26">
        <f t="shared" si="18"/>
        <v>20</v>
      </c>
      <c r="Q233" s="26" t="str">
        <f t="shared" si="19"/>
        <v/>
      </c>
      <c r="R233" s="33"/>
      <c r="S233" s="33" t="s">
        <v>28</v>
      </c>
      <c r="T233" s="33"/>
      <c r="U233" s="34"/>
    </row>
    <row r="234" spans="1:21" ht="57.6" customHeight="1" x14ac:dyDescent="0.25">
      <c r="A234" s="21">
        <v>233</v>
      </c>
      <c r="B234" s="23" t="s">
        <v>929</v>
      </c>
      <c r="C234" s="43" t="s">
        <v>1102</v>
      </c>
      <c r="D234" s="23" t="s">
        <v>1103</v>
      </c>
      <c r="E234" s="32" t="s">
        <v>1104</v>
      </c>
      <c r="F234" s="23" t="s">
        <v>1105</v>
      </c>
      <c r="G234" s="25" t="s">
        <v>26</v>
      </c>
      <c r="H234" s="26" t="s">
        <v>1106</v>
      </c>
      <c r="I234" s="26"/>
      <c r="J234" s="26"/>
      <c r="K234" s="26">
        <v>5</v>
      </c>
      <c r="L234" s="26">
        <f t="shared" si="15"/>
        <v>0</v>
      </c>
      <c r="M234" s="26"/>
      <c r="N234" s="26" t="str">
        <f t="shared" si="16"/>
        <v/>
      </c>
      <c r="O234" s="26" t="str">
        <f t="shared" si="17"/>
        <v/>
      </c>
      <c r="P234" s="26">
        <f t="shared" si="18"/>
        <v>25</v>
      </c>
      <c r="Q234" s="26" t="str">
        <f t="shared" si="19"/>
        <v/>
      </c>
      <c r="R234" s="33" t="s">
        <v>28</v>
      </c>
      <c r="S234" s="33" t="s">
        <v>28</v>
      </c>
      <c r="T234" s="33" t="s">
        <v>28</v>
      </c>
      <c r="U234" s="34" t="s">
        <v>28</v>
      </c>
    </row>
    <row r="235" spans="1:21" ht="72" customHeight="1" x14ac:dyDescent="0.25">
      <c r="A235" s="21">
        <v>234</v>
      </c>
      <c r="B235" s="23" t="s">
        <v>929</v>
      </c>
      <c r="C235" s="43" t="s">
        <v>1107</v>
      </c>
      <c r="D235" s="23" t="s">
        <v>1108</v>
      </c>
      <c r="E235" s="32" t="s">
        <v>1109</v>
      </c>
      <c r="F235" s="23" t="s">
        <v>1110</v>
      </c>
      <c r="G235" s="25" t="s">
        <v>26</v>
      </c>
      <c r="H235" s="26" t="s">
        <v>1111</v>
      </c>
      <c r="I235" s="26"/>
      <c r="J235" s="26"/>
      <c r="K235" s="26">
        <v>4</v>
      </c>
      <c r="L235" s="26">
        <f t="shared" si="15"/>
        <v>0</v>
      </c>
      <c r="M235" s="26"/>
      <c r="N235" s="26" t="str">
        <f t="shared" si="16"/>
        <v/>
      </c>
      <c r="O235" s="26" t="str">
        <f t="shared" si="17"/>
        <v/>
      </c>
      <c r="P235" s="26">
        <f t="shared" si="18"/>
        <v>20</v>
      </c>
      <c r="Q235" s="26" t="str">
        <f t="shared" si="19"/>
        <v/>
      </c>
      <c r="R235" s="33"/>
      <c r="S235" s="33" t="s">
        <v>28</v>
      </c>
      <c r="T235" s="33"/>
      <c r="U235" s="34"/>
    </row>
    <row r="236" spans="1:21" ht="57.6" customHeight="1" x14ac:dyDescent="0.25">
      <c r="A236" s="21">
        <v>235</v>
      </c>
      <c r="B236" s="23" t="s">
        <v>929</v>
      </c>
      <c r="C236" s="43" t="s">
        <v>1112</v>
      </c>
      <c r="D236" s="23" t="s">
        <v>1113</v>
      </c>
      <c r="E236" s="32" t="s">
        <v>1114</v>
      </c>
      <c r="F236" s="23" t="s">
        <v>1115</v>
      </c>
      <c r="G236" s="25" t="s">
        <v>26</v>
      </c>
      <c r="H236" s="26" t="s">
        <v>1116</v>
      </c>
      <c r="I236" s="26"/>
      <c r="J236" s="26"/>
      <c r="K236" s="26">
        <v>3</v>
      </c>
      <c r="L236" s="26">
        <f t="shared" si="15"/>
        <v>0</v>
      </c>
      <c r="M236" s="26"/>
      <c r="N236" s="26" t="str">
        <f t="shared" si="16"/>
        <v/>
      </c>
      <c r="O236" s="26" t="str">
        <f t="shared" si="17"/>
        <v/>
      </c>
      <c r="P236" s="26">
        <f t="shared" si="18"/>
        <v>15</v>
      </c>
      <c r="Q236" s="26" t="str">
        <f t="shared" si="19"/>
        <v/>
      </c>
      <c r="R236" s="33"/>
      <c r="S236" s="33" t="s">
        <v>28</v>
      </c>
      <c r="T236" s="33" t="s">
        <v>28</v>
      </c>
      <c r="U236" s="34"/>
    </row>
    <row r="237" spans="1:21" ht="57.6" customHeight="1" x14ac:dyDescent="0.25">
      <c r="A237" s="21">
        <v>236</v>
      </c>
      <c r="B237" s="23" t="s">
        <v>929</v>
      </c>
      <c r="C237" s="43" t="s">
        <v>1117</v>
      </c>
      <c r="D237" s="23" t="s">
        <v>1118</v>
      </c>
      <c r="E237" s="32" t="s">
        <v>1119</v>
      </c>
      <c r="F237" s="23" t="s">
        <v>1120</v>
      </c>
      <c r="G237" s="25" t="s">
        <v>26</v>
      </c>
      <c r="H237" s="26" t="s">
        <v>1121</v>
      </c>
      <c r="I237" s="26"/>
      <c r="J237" s="26"/>
      <c r="K237" s="26">
        <v>4</v>
      </c>
      <c r="L237" s="26">
        <f t="shared" si="15"/>
        <v>0</v>
      </c>
      <c r="M237" s="26"/>
      <c r="N237" s="26" t="str">
        <f t="shared" si="16"/>
        <v/>
      </c>
      <c r="O237" s="26" t="str">
        <f t="shared" si="17"/>
        <v/>
      </c>
      <c r="P237" s="26">
        <f t="shared" si="18"/>
        <v>20</v>
      </c>
      <c r="Q237" s="26" t="str">
        <f t="shared" si="19"/>
        <v/>
      </c>
      <c r="R237" s="33" t="s">
        <v>28</v>
      </c>
      <c r="S237" s="33" t="s">
        <v>28</v>
      </c>
      <c r="T237" s="33" t="s">
        <v>28</v>
      </c>
      <c r="U237" s="34" t="s">
        <v>28</v>
      </c>
    </row>
    <row r="238" spans="1:21" ht="72" customHeight="1" x14ac:dyDescent="0.25">
      <c r="A238" s="21">
        <v>237</v>
      </c>
      <c r="B238" s="23" t="s">
        <v>929</v>
      </c>
      <c r="C238" s="43" t="s">
        <v>1122</v>
      </c>
      <c r="D238" s="23" t="s">
        <v>1123</v>
      </c>
      <c r="E238" s="32" t="s">
        <v>1124</v>
      </c>
      <c r="F238" s="23" t="s">
        <v>1125</v>
      </c>
      <c r="G238" s="25" t="s">
        <v>26</v>
      </c>
      <c r="H238" s="26" t="s">
        <v>1126</v>
      </c>
      <c r="I238" s="26"/>
      <c r="J238" s="26"/>
      <c r="K238" s="26">
        <v>3</v>
      </c>
      <c r="L238" s="26">
        <f t="shared" si="15"/>
        <v>0</v>
      </c>
      <c r="M238" s="26"/>
      <c r="N238" s="26" t="str">
        <f t="shared" si="16"/>
        <v/>
      </c>
      <c r="O238" s="26" t="str">
        <f t="shared" si="17"/>
        <v/>
      </c>
      <c r="P238" s="26">
        <f t="shared" si="18"/>
        <v>15</v>
      </c>
      <c r="Q238" s="26" t="str">
        <f t="shared" si="19"/>
        <v/>
      </c>
      <c r="R238" s="33" t="s">
        <v>28</v>
      </c>
      <c r="S238" s="33" t="s">
        <v>28</v>
      </c>
      <c r="T238" s="33" t="s">
        <v>28</v>
      </c>
      <c r="U238" s="34" t="s">
        <v>28</v>
      </c>
    </row>
    <row r="239" spans="1:21" ht="57.6" customHeight="1" x14ac:dyDescent="0.25">
      <c r="A239" s="21">
        <v>238</v>
      </c>
      <c r="B239" s="23" t="s">
        <v>929</v>
      </c>
      <c r="C239" s="43" t="s">
        <v>1127</v>
      </c>
      <c r="D239" s="23" t="s">
        <v>1128</v>
      </c>
      <c r="E239" s="32" t="s">
        <v>1129</v>
      </c>
      <c r="F239" s="23" t="s">
        <v>1130</v>
      </c>
      <c r="G239" s="25" t="s">
        <v>26</v>
      </c>
      <c r="H239" s="26" t="s">
        <v>1131</v>
      </c>
      <c r="I239" s="26"/>
      <c r="J239" s="26"/>
      <c r="K239" s="26">
        <v>3</v>
      </c>
      <c r="L239" s="26">
        <f t="shared" si="15"/>
        <v>0</v>
      </c>
      <c r="M239" s="26"/>
      <c r="N239" s="26" t="str">
        <f t="shared" si="16"/>
        <v/>
      </c>
      <c r="O239" s="26" t="str">
        <f t="shared" si="17"/>
        <v/>
      </c>
      <c r="P239" s="26">
        <f t="shared" si="18"/>
        <v>15</v>
      </c>
      <c r="Q239" s="26" t="str">
        <f t="shared" si="19"/>
        <v/>
      </c>
      <c r="R239" s="33" t="s">
        <v>28</v>
      </c>
      <c r="S239" s="33" t="s">
        <v>28</v>
      </c>
      <c r="T239" s="33" t="s">
        <v>28</v>
      </c>
      <c r="U239" s="34" t="s">
        <v>28</v>
      </c>
    </row>
    <row r="240" spans="1:21" ht="72" customHeight="1" x14ac:dyDescent="0.25">
      <c r="A240" s="21">
        <v>239</v>
      </c>
      <c r="B240" s="22" t="s">
        <v>1132</v>
      </c>
      <c r="C240" s="29" t="s">
        <v>1133</v>
      </c>
      <c r="D240" s="23" t="s">
        <v>1134</v>
      </c>
      <c r="E240" s="24" t="s">
        <v>1135</v>
      </c>
      <c r="F240" s="23" t="s">
        <v>1136</v>
      </c>
      <c r="G240" s="25" t="s">
        <v>26</v>
      </c>
      <c r="H240" s="26" t="s">
        <v>1137</v>
      </c>
      <c r="I240" s="26"/>
      <c r="J240" s="26"/>
      <c r="K240" s="26">
        <v>5</v>
      </c>
      <c r="L240" s="26">
        <f t="shared" si="15"/>
        <v>0</v>
      </c>
      <c r="M240" s="26"/>
      <c r="N240" s="26" t="str">
        <f t="shared" si="16"/>
        <v/>
      </c>
      <c r="O240" s="26" t="str">
        <f t="shared" si="17"/>
        <v/>
      </c>
      <c r="P240" s="26">
        <f t="shared" si="18"/>
        <v>25</v>
      </c>
      <c r="Q240" s="26" t="str">
        <f t="shared" si="19"/>
        <v/>
      </c>
      <c r="R240" s="27"/>
      <c r="S240" s="27" t="s">
        <v>28</v>
      </c>
      <c r="T240" s="27" t="s">
        <v>28</v>
      </c>
      <c r="U240" s="28"/>
    </row>
    <row r="241" spans="1:21" ht="72" customHeight="1" x14ac:dyDescent="0.25">
      <c r="A241" s="21">
        <v>240</v>
      </c>
      <c r="B241" s="22" t="s">
        <v>1132</v>
      </c>
      <c r="C241" s="29" t="s">
        <v>1138</v>
      </c>
      <c r="D241" s="23" t="s">
        <v>1139</v>
      </c>
      <c r="E241" s="24" t="s">
        <v>1140</v>
      </c>
      <c r="F241" s="23" t="s">
        <v>1141</v>
      </c>
      <c r="G241" s="25" t="s">
        <v>26</v>
      </c>
      <c r="H241" s="26" t="s">
        <v>1142</v>
      </c>
      <c r="I241" s="26"/>
      <c r="J241" s="26"/>
      <c r="K241" s="26">
        <v>5</v>
      </c>
      <c r="L241" s="26">
        <f t="shared" si="15"/>
        <v>0</v>
      </c>
      <c r="M241" s="26"/>
      <c r="N241" s="26" t="str">
        <f t="shared" si="16"/>
        <v/>
      </c>
      <c r="O241" s="26" t="str">
        <f t="shared" si="17"/>
        <v/>
      </c>
      <c r="P241" s="26">
        <f t="shared" si="18"/>
        <v>25</v>
      </c>
      <c r="Q241" s="26" t="str">
        <f t="shared" si="19"/>
        <v/>
      </c>
      <c r="R241" s="27"/>
      <c r="S241" s="27" t="s">
        <v>28</v>
      </c>
      <c r="T241" s="27"/>
      <c r="U241" s="28"/>
    </row>
    <row r="242" spans="1:21" ht="57.6" customHeight="1" x14ac:dyDescent="0.25">
      <c r="A242" s="21">
        <v>241</v>
      </c>
      <c r="B242" s="22" t="s">
        <v>1132</v>
      </c>
      <c r="C242" s="29" t="s">
        <v>1143</v>
      </c>
      <c r="D242" s="23" t="s">
        <v>1144</v>
      </c>
      <c r="E242" s="24" t="s">
        <v>1145</v>
      </c>
      <c r="F242" s="23" t="s">
        <v>1146</v>
      </c>
      <c r="G242" s="25" t="s">
        <v>26</v>
      </c>
      <c r="H242" s="26" t="s">
        <v>1147</v>
      </c>
      <c r="I242" s="26"/>
      <c r="J242" s="26"/>
      <c r="K242" s="26">
        <v>5</v>
      </c>
      <c r="L242" s="26">
        <f t="shared" si="15"/>
        <v>0</v>
      </c>
      <c r="M242" s="26"/>
      <c r="N242" s="26" t="str">
        <f t="shared" si="16"/>
        <v/>
      </c>
      <c r="O242" s="26" t="str">
        <f t="shared" si="17"/>
        <v/>
      </c>
      <c r="P242" s="26">
        <f t="shared" si="18"/>
        <v>25</v>
      </c>
      <c r="Q242" s="26" t="str">
        <f t="shared" si="19"/>
        <v/>
      </c>
      <c r="R242" s="27"/>
      <c r="S242" s="27"/>
      <c r="T242" s="27"/>
      <c r="U242" s="28"/>
    </row>
    <row r="243" spans="1:21" ht="57.6" customHeight="1" x14ac:dyDescent="0.25">
      <c r="A243" s="21">
        <v>242</v>
      </c>
      <c r="B243" s="22" t="s">
        <v>1132</v>
      </c>
      <c r="C243" s="29" t="s">
        <v>1148</v>
      </c>
      <c r="D243" s="23" t="s">
        <v>1149</v>
      </c>
      <c r="E243" s="24" t="s">
        <v>1150</v>
      </c>
      <c r="F243" s="23" t="s">
        <v>1151</v>
      </c>
      <c r="G243" s="25" t="s">
        <v>26</v>
      </c>
      <c r="H243" s="26" t="s">
        <v>1152</v>
      </c>
      <c r="I243" s="26"/>
      <c r="J243" s="26"/>
      <c r="K243" s="26">
        <v>4</v>
      </c>
      <c r="L243" s="26">
        <f t="shared" si="15"/>
        <v>0</v>
      </c>
      <c r="M243" s="26"/>
      <c r="N243" s="26" t="str">
        <f t="shared" si="16"/>
        <v/>
      </c>
      <c r="O243" s="26" t="str">
        <f t="shared" si="17"/>
        <v/>
      </c>
      <c r="P243" s="26">
        <f t="shared" si="18"/>
        <v>20</v>
      </c>
      <c r="Q243" s="26" t="str">
        <f t="shared" si="19"/>
        <v/>
      </c>
      <c r="R243" s="27"/>
      <c r="S243" s="27"/>
      <c r="T243" s="27"/>
      <c r="U243" s="28"/>
    </row>
    <row r="244" spans="1:21" ht="57.6" customHeight="1" x14ac:dyDescent="0.25">
      <c r="A244" s="21">
        <v>243</v>
      </c>
      <c r="B244" s="22" t="s">
        <v>1132</v>
      </c>
      <c r="C244" s="29" t="s">
        <v>1153</v>
      </c>
      <c r="D244" s="23" t="s">
        <v>1154</v>
      </c>
      <c r="E244" s="24" t="s">
        <v>1155</v>
      </c>
      <c r="F244" s="23" t="s">
        <v>1156</v>
      </c>
      <c r="G244" s="25" t="s">
        <v>26</v>
      </c>
      <c r="H244" s="26" t="s">
        <v>1157</v>
      </c>
      <c r="I244" s="26"/>
      <c r="J244" s="26"/>
      <c r="K244" s="26">
        <v>4</v>
      </c>
      <c r="L244" s="26">
        <f t="shared" si="15"/>
        <v>0</v>
      </c>
      <c r="M244" s="26"/>
      <c r="N244" s="26" t="str">
        <f t="shared" si="16"/>
        <v/>
      </c>
      <c r="O244" s="26" t="str">
        <f t="shared" si="17"/>
        <v/>
      </c>
      <c r="P244" s="26">
        <f t="shared" si="18"/>
        <v>20</v>
      </c>
      <c r="Q244" s="26" t="str">
        <f t="shared" si="19"/>
        <v/>
      </c>
      <c r="R244" s="27" t="s">
        <v>28</v>
      </c>
      <c r="S244" s="27" t="s">
        <v>28</v>
      </c>
      <c r="T244" s="27"/>
      <c r="U244" s="28" t="s">
        <v>28</v>
      </c>
    </row>
    <row r="245" spans="1:21" ht="57.6" customHeight="1" x14ac:dyDescent="0.25">
      <c r="A245" s="21">
        <v>244</v>
      </c>
      <c r="B245" s="22" t="s">
        <v>1132</v>
      </c>
      <c r="C245" s="29" t="s">
        <v>1158</v>
      </c>
      <c r="D245" s="23" t="s">
        <v>1159</v>
      </c>
      <c r="E245" s="24" t="s">
        <v>1160</v>
      </c>
      <c r="F245" s="23" t="s">
        <v>1161</v>
      </c>
      <c r="G245" s="25" t="s">
        <v>26</v>
      </c>
      <c r="H245" s="26" t="s">
        <v>1162</v>
      </c>
      <c r="I245" s="26"/>
      <c r="J245" s="26"/>
      <c r="K245" s="26">
        <v>3</v>
      </c>
      <c r="L245" s="26">
        <f t="shared" si="15"/>
        <v>0</v>
      </c>
      <c r="M245" s="26"/>
      <c r="N245" s="26" t="str">
        <f t="shared" si="16"/>
        <v/>
      </c>
      <c r="O245" s="26" t="str">
        <f t="shared" si="17"/>
        <v/>
      </c>
      <c r="P245" s="26">
        <f t="shared" si="18"/>
        <v>15</v>
      </c>
      <c r="Q245" s="26" t="str">
        <f t="shared" si="19"/>
        <v/>
      </c>
      <c r="R245" s="27"/>
      <c r="S245" s="27"/>
      <c r="T245" s="27"/>
      <c r="U245" s="28"/>
    </row>
    <row r="246" spans="1:21" ht="57.6" customHeight="1" x14ac:dyDescent="0.25">
      <c r="A246" s="21">
        <v>245</v>
      </c>
      <c r="B246" s="22" t="s">
        <v>1132</v>
      </c>
      <c r="C246" s="29" t="s">
        <v>1163</v>
      </c>
      <c r="D246" s="23" t="s">
        <v>1164</v>
      </c>
      <c r="E246" s="24" t="s">
        <v>1165</v>
      </c>
      <c r="F246" s="23" t="s">
        <v>1166</v>
      </c>
      <c r="G246" s="25" t="s">
        <v>26</v>
      </c>
      <c r="H246" s="26" t="s">
        <v>1167</v>
      </c>
      <c r="I246" s="26"/>
      <c r="J246" s="26"/>
      <c r="K246" s="26">
        <v>4</v>
      </c>
      <c r="L246" s="26">
        <f t="shared" si="15"/>
        <v>0</v>
      </c>
      <c r="M246" s="26"/>
      <c r="N246" s="26" t="str">
        <f t="shared" si="16"/>
        <v/>
      </c>
      <c r="O246" s="26" t="str">
        <f t="shared" si="17"/>
        <v/>
      </c>
      <c r="P246" s="26">
        <f t="shared" si="18"/>
        <v>20</v>
      </c>
      <c r="Q246" s="26" t="str">
        <f t="shared" si="19"/>
        <v/>
      </c>
      <c r="R246" s="27" t="s">
        <v>28</v>
      </c>
      <c r="S246" s="27"/>
      <c r="T246" s="27"/>
      <c r="U246" s="28"/>
    </row>
    <row r="247" spans="1:21" ht="57.6" customHeight="1" x14ac:dyDescent="0.25">
      <c r="A247" s="21">
        <v>246</v>
      </c>
      <c r="B247" s="22" t="s">
        <v>1132</v>
      </c>
      <c r="C247" s="29" t="s">
        <v>1168</v>
      </c>
      <c r="D247" s="23" t="s">
        <v>1169</v>
      </c>
      <c r="E247" s="24" t="s">
        <v>1170</v>
      </c>
      <c r="F247" s="23" t="s">
        <v>1171</v>
      </c>
      <c r="G247" s="25" t="s">
        <v>26</v>
      </c>
      <c r="H247" s="26" t="s">
        <v>1172</v>
      </c>
      <c r="I247" s="26"/>
      <c r="J247" s="26"/>
      <c r="K247" s="26">
        <v>4</v>
      </c>
      <c r="L247" s="26">
        <f t="shared" si="15"/>
        <v>0</v>
      </c>
      <c r="M247" s="26"/>
      <c r="N247" s="26" t="str">
        <f t="shared" si="16"/>
        <v/>
      </c>
      <c r="O247" s="26" t="str">
        <f t="shared" si="17"/>
        <v/>
      </c>
      <c r="P247" s="26">
        <f t="shared" si="18"/>
        <v>20</v>
      </c>
      <c r="Q247" s="26" t="str">
        <f t="shared" si="19"/>
        <v/>
      </c>
      <c r="R247" s="27" t="s">
        <v>28</v>
      </c>
      <c r="S247" s="27" t="s">
        <v>28</v>
      </c>
      <c r="T247" s="27" t="s">
        <v>28</v>
      </c>
      <c r="U247" s="28"/>
    </row>
    <row r="248" spans="1:21" ht="57.6" customHeight="1" x14ac:dyDescent="0.25">
      <c r="A248" s="21">
        <v>247</v>
      </c>
      <c r="B248" s="22" t="s">
        <v>1132</v>
      </c>
      <c r="C248" s="29" t="s">
        <v>1173</v>
      </c>
      <c r="D248" s="23" t="s">
        <v>1174</v>
      </c>
      <c r="E248" s="24" t="s">
        <v>1175</v>
      </c>
      <c r="F248" s="23" t="s">
        <v>1176</v>
      </c>
      <c r="G248" s="25" t="s">
        <v>26</v>
      </c>
      <c r="H248" s="26" t="s">
        <v>1177</v>
      </c>
      <c r="I248" s="26"/>
      <c r="J248" s="26"/>
      <c r="K248" s="26">
        <v>3</v>
      </c>
      <c r="L248" s="26">
        <f t="shared" si="15"/>
        <v>0</v>
      </c>
      <c r="M248" s="26"/>
      <c r="N248" s="26" t="str">
        <f t="shared" si="16"/>
        <v/>
      </c>
      <c r="O248" s="26" t="str">
        <f t="shared" si="17"/>
        <v/>
      </c>
      <c r="P248" s="26">
        <f t="shared" si="18"/>
        <v>15</v>
      </c>
      <c r="Q248" s="26" t="str">
        <f t="shared" si="19"/>
        <v/>
      </c>
      <c r="R248" s="27"/>
      <c r="S248" s="27" t="s">
        <v>28</v>
      </c>
      <c r="T248" s="27"/>
      <c r="U248" s="28"/>
    </row>
    <row r="249" spans="1:21" ht="57.6" customHeight="1" x14ac:dyDescent="0.25">
      <c r="A249" s="21">
        <v>248</v>
      </c>
      <c r="B249" s="22" t="s">
        <v>1132</v>
      </c>
      <c r="C249" s="29" t="s">
        <v>1178</v>
      </c>
      <c r="D249" s="23" t="s">
        <v>1179</v>
      </c>
      <c r="E249" s="24" t="s">
        <v>1180</v>
      </c>
      <c r="F249" s="23" t="s">
        <v>1181</v>
      </c>
      <c r="G249" s="25" t="s">
        <v>26</v>
      </c>
      <c r="H249" s="26" t="s">
        <v>1182</v>
      </c>
      <c r="I249" s="26"/>
      <c r="J249" s="26"/>
      <c r="K249" s="26">
        <v>3</v>
      </c>
      <c r="L249" s="26">
        <f t="shared" si="15"/>
        <v>0</v>
      </c>
      <c r="M249" s="26"/>
      <c r="N249" s="26" t="str">
        <f t="shared" si="16"/>
        <v/>
      </c>
      <c r="O249" s="26" t="str">
        <f t="shared" si="17"/>
        <v/>
      </c>
      <c r="P249" s="26">
        <f t="shared" si="18"/>
        <v>15</v>
      </c>
      <c r="Q249" s="26" t="str">
        <f t="shared" si="19"/>
        <v/>
      </c>
      <c r="R249" s="27"/>
      <c r="S249" s="27"/>
      <c r="T249" s="27"/>
      <c r="U249" s="28"/>
    </row>
    <row r="250" spans="1:21" ht="57.6" customHeight="1" x14ac:dyDescent="0.25">
      <c r="A250" s="21">
        <v>249</v>
      </c>
      <c r="B250" s="22" t="s">
        <v>1132</v>
      </c>
      <c r="C250" s="29" t="s">
        <v>1183</v>
      </c>
      <c r="D250" s="23" t="s">
        <v>1184</v>
      </c>
      <c r="E250" s="24" t="s">
        <v>1185</v>
      </c>
      <c r="F250" s="23" t="s">
        <v>1186</v>
      </c>
      <c r="G250" s="25" t="s">
        <v>26</v>
      </c>
      <c r="H250" s="26" t="s">
        <v>1187</v>
      </c>
      <c r="I250" s="26"/>
      <c r="J250" s="26"/>
      <c r="K250" s="26">
        <v>3</v>
      </c>
      <c r="L250" s="26">
        <f t="shared" si="15"/>
        <v>0</v>
      </c>
      <c r="M250" s="26"/>
      <c r="N250" s="26" t="str">
        <f t="shared" si="16"/>
        <v/>
      </c>
      <c r="O250" s="26" t="str">
        <f t="shared" si="17"/>
        <v/>
      </c>
      <c r="P250" s="26">
        <f t="shared" si="18"/>
        <v>15</v>
      </c>
      <c r="Q250" s="26" t="str">
        <f t="shared" si="19"/>
        <v/>
      </c>
      <c r="R250" s="27"/>
      <c r="S250" s="27"/>
      <c r="T250" s="27" t="s">
        <v>28</v>
      </c>
      <c r="U250" s="28"/>
    </row>
    <row r="251" spans="1:21" ht="57.6" customHeight="1" x14ac:dyDescent="0.25">
      <c r="A251" s="21">
        <v>250</v>
      </c>
      <c r="B251" s="22" t="s">
        <v>1132</v>
      </c>
      <c r="C251" s="29" t="s">
        <v>1188</v>
      </c>
      <c r="D251" s="23" t="s">
        <v>1189</v>
      </c>
      <c r="E251" s="24" t="s">
        <v>1190</v>
      </c>
      <c r="F251" s="23" t="s">
        <v>1191</v>
      </c>
      <c r="G251" s="25" t="s">
        <v>26</v>
      </c>
      <c r="H251" s="26" t="s">
        <v>1192</v>
      </c>
      <c r="I251" s="26"/>
      <c r="J251" s="26"/>
      <c r="K251" s="26">
        <v>3</v>
      </c>
      <c r="L251" s="26">
        <f t="shared" si="15"/>
        <v>0</v>
      </c>
      <c r="M251" s="26"/>
      <c r="N251" s="26" t="str">
        <f t="shared" si="16"/>
        <v/>
      </c>
      <c r="O251" s="26" t="str">
        <f t="shared" si="17"/>
        <v/>
      </c>
      <c r="P251" s="26">
        <f t="shared" si="18"/>
        <v>15</v>
      </c>
      <c r="Q251" s="26" t="str">
        <f t="shared" si="19"/>
        <v/>
      </c>
      <c r="R251" s="27"/>
      <c r="S251" s="27"/>
      <c r="T251" s="27" t="s">
        <v>28</v>
      </c>
      <c r="U251" s="28"/>
    </row>
    <row r="252" spans="1:21" ht="57.6" customHeight="1" x14ac:dyDescent="0.25">
      <c r="A252" s="21">
        <v>251</v>
      </c>
      <c r="B252" s="22" t="s">
        <v>1132</v>
      </c>
      <c r="C252" s="29" t="s">
        <v>1193</v>
      </c>
      <c r="D252" s="23" t="s">
        <v>1194</v>
      </c>
      <c r="E252" s="24" t="s">
        <v>1195</v>
      </c>
      <c r="F252" s="23" t="s">
        <v>1196</v>
      </c>
      <c r="G252" s="25" t="s">
        <v>26</v>
      </c>
      <c r="H252" s="26" t="s">
        <v>1197</v>
      </c>
      <c r="I252" s="26"/>
      <c r="J252" s="26"/>
      <c r="K252" s="26">
        <v>3</v>
      </c>
      <c r="L252" s="26">
        <f t="shared" si="15"/>
        <v>0</v>
      </c>
      <c r="M252" s="26"/>
      <c r="N252" s="26" t="str">
        <f t="shared" si="16"/>
        <v/>
      </c>
      <c r="O252" s="26" t="str">
        <f t="shared" si="17"/>
        <v/>
      </c>
      <c r="P252" s="26">
        <f t="shared" si="18"/>
        <v>15</v>
      </c>
      <c r="Q252" s="26" t="str">
        <f t="shared" si="19"/>
        <v/>
      </c>
      <c r="R252" s="27"/>
      <c r="S252" s="27"/>
      <c r="T252" s="27" t="s">
        <v>28</v>
      </c>
      <c r="U252" s="28"/>
    </row>
    <row r="253" spans="1:21" ht="57.6" customHeight="1" x14ac:dyDescent="0.25">
      <c r="A253" s="21">
        <v>252</v>
      </c>
      <c r="B253" s="22" t="s">
        <v>1132</v>
      </c>
      <c r="C253" s="29" t="s">
        <v>1198</v>
      </c>
      <c r="D253" s="23" t="s">
        <v>1199</v>
      </c>
      <c r="E253" s="24" t="s">
        <v>1200</v>
      </c>
      <c r="F253" s="23" t="s">
        <v>1201</v>
      </c>
      <c r="G253" s="25" t="s">
        <v>26</v>
      </c>
      <c r="H253" s="26" t="s">
        <v>1202</v>
      </c>
      <c r="I253" s="26"/>
      <c r="J253" s="26"/>
      <c r="K253" s="26">
        <v>4</v>
      </c>
      <c r="L253" s="26">
        <f t="shared" si="15"/>
        <v>0</v>
      </c>
      <c r="M253" s="26"/>
      <c r="N253" s="26" t="str">
        <f t="shared" si="16"/>
        <v/>
      </c>
      <c r="O253" s="26" t="str">
        <f t="shared" si="17"/>
        <v/>
      </c>
      <c r="P253" s="26">
        <f t="shared" si="18"/>
        <v>20</v>
      </c>
      <c r="Q253" s="26" t="str">
        <f t="shared" si="19"/>
        <v/>
      </c>
      <c r="R253" s="27"/>
      <c r="S253" s="27" t="s">
        <v>28</v>
      </c>
      <c r="T253" s="27"/>
      <c r="U253" s="28" t="s">
        <v>28</v>
      </c>
    </row>
    <row r="254" spans="1:21" ht="57.6" customHeight="1" x14ac:dyDescent="0.25">
      <c r="A254" s="21">
        <v>253</v>
      </c>
      <c r="B254" s="22" t="s">
        <v>1132</v>
      </c>
      <c r="C254" s="29" t="s">
        <v>1203</v>
      </c>
      <c r="D254" s="23" t="s">
        <v>1204</v>
      </c>
      <c r="E254" s="24" t="s">
        <v>1205</v>
      </c>
      <c r="F254" s="23" t="s">
        <v>1206</v>
      </c>
      <c r="G254" s="25" t="s">
        <v>26</v>
      </c>
      <c r="H254" s="26" t="s">
        <v>1207</v>
      </c>
      <c r="I254" s="26"/>
      <c r="J254" s="26"/>
      <c r="K254" s="26">
        <v>3</v>
      </c>
      <c r="L254" s="26">
        <f t="shared" si="15"/>
        <v>0</v>
      </c>
      <c r="M254" s="26"/>
      <c r="N254" s="26" t="str">
        <f t="shared" si="16"/>
        <v/>
      </c>
      <c r="O254" s="26" t="str">
        <f t="shared" si="17"/>
        <v/>
      </c>
      <c r="P254" s="26">
        <f t="shared" si="18"/>
        <v>15</v>
      </c>
      <c r="Q254" s="26" t="str">
        <f t="shared" si="19"/>
        <v/>
      </c>
      <c r="R254" s="27"/>
      <c r="S254" s="27"/>
      <c r="T254" s="27" t="s">
        <v>28</v>
      </c>
      <c r="U254" s="28"/>
    </row>
    <row r="255" spans="1:21" ht="57.6" customHeight="1" x14ac:dyDescent="0.25">
      <c r="A255" s="21">
        <v>254</v>
      </c>
      <c r="B255" s="22" t="s">
        <v>1132</v>
      </c>
      <c r="C255" s="29" t="s">
        <v>1208</v>
      </c>
      <c r="D255" s="23" t="s">
        <v>1209</v>
      </c>
      <c r="E255" s="24" t="s">
        <v>1210</v>
      </c>
      <c r="F255" s="23" t="s">
        <v>1211</v>
      </c>
      <c r="G255" s="25" t="s">
        <v>26</v>
      </c>
      <c r="H255" s="26" t="s">
        <v>1212</v>
      </c>
      <c r="I255" s="26"/>
      <c r="J255" s="26"/>
      <c r="K255" s="26">
        <v>4</v>
      </c>
      <c r="L255" s="26">
        <f t="shared" si="15"/>
        <v>0</v>
      </c>
      <c r="M255" s="26"/>
      <c r="N255" s="26" t="str">
        <f t="shared" si="16"/>
        <v/>
      </c>
      <c r="O255" s="26" t="str">
        <f t="shared" si="17"/>
        <v/>
      </c>
      <c r="P255" s="26">
        <f t="shared" si="18"/>
        <v>20</v>
      </c>
      <c r="Q255" s="26" t="str">
        <f t="shared" si="19"/>
        <v/>
      </c>
      <c r="R255" s="27" t="s">
        <v>28</v>
      </c>
      <c r="S255" s="27" t="s">
        <v>28</v>
      </c>
      <c r="T255" s="27" t="s">
        <v>28</v>
      </c>
      <c r="U255" s="28" t="s">
        <v>28</v>
      </c>
    </row>
    <row r="256" spans="1:21" ht="57.6" customHeight="1" x14ac:dyDescent="0.25">
      <c r="A256" s="21">
        <v>255</v>
      </c>
      <c r="B256" s="22" t="s">
        <v>1132</v>
      </c>
      <c r="C256" s="29" t="s">
        <v>1213</v>
      </c>
      <c r="D256" s="23" t="s">
        <v>1214</v>
      </c>
      <c r="E256" s="24" t="s">
        <v>1215</v>
      </c>
      <c r="F256" s="23" t="s">
        <v>1216</v>
      </c>
      <c r="G256" s="25" t="s">
        <v>26</v>
      </c>
      <c r="H256" s="26" t="s">
        <v>1217</v>
      </c>
      <c r="I256" s="26"/>
      <c r="J256" s="26"/>
      <c r="K256" s="26">
        <v>4</v>
      </c>
      <c r="L256" s="26">
        <f t="shared" si="15"/>
        <v>0</v>
      </c>
      <c r="M256" s="26"/>
      <c r="N256" s="26" t="str">
        <f t="shared" si="16"/>
        <v/>
      </c>
      <c r="O256" s="26" t="str">
        <f t="shared" si="17"/>
        <v/>
      </c>
      <c r="P256" s="26">
        <f t="shared" si="18"/>
        <v>20</v>
      </c>
      <c r="Q256" s="26" t="str">
        <f t="shared" si="19"/>
        <v/>
      </c>
      <c r="R256" s="27"/>
      <c r="S256" s="27" t="s">
        <v>28</v>
      </c>
      <c r="T256" s="27" t="s">
        <v>28</v>
      </c>
      <c r="U256" s="28"/>
    </row>
    <row r="257" spans="1:21" ht="57.6" customHeight="1" x14ac:dyDescent="0.25">
      <c r="A257" s="21">
        <v>256</v>
      </c>
      <c r="B257" s="22" t="s">
        <v>1132</v>
      </c>
      <c r="C257" s="29" t="s">
        <v>1218</v>
      </c>
      <c r="D257" s="23" t="s">
        <v>1219</v>
      </c>
      <c r="E257" s="24" t="s">
        <v>1220</v>
      </c>
      <c r="F257" s="23" t="s">
        <v>1221</v>
      </c>
      <c r="G257" s="25" t="s">
        <v>26</v>
      </c>
      <c r="H257" s="26" t="s">
        <v>1222</v>
      </c>
      <c r="I257" s="26"/>
      <c r="J257" s="26"/>
      <c r="K257" s="26">
        <v>4</v>
      </c>
      <c r="L257" s="26">
        <f t="shared" si="15"/>
        <v>0</v>
      </c>
      <c r="M257" s="26"/>
      <c r="N257" s="26" t="str">
        <f t="shared" si="16"/>
        <v/>
      </c>
      <c r="O257" s="26" t="str">
        <f t="shared" si="17"/>
        <v/>
      </c>
      <c r="P257" s="26">
        <f t="shared" si="18"/>
        <v>20</v>
      </c>
      <c r="Q257" s="26" t="str">
        <f t="shared" si="19"/>
        <v/>
      </c>
      <c r="R257" s="27" t="s">
        <v>28</v>
      </c>
      <c r="S257" s="27"/>
      <c r="T257" s="27" t="s">
        <v>28</v>
      </c>
      <c r="U257" s="28"/>
    </row>
    <row r="258" spans="1:21" ht="57.6" customHeight="1" x14ac:dyDescent="0.25">
      <c r="A258" s="21">
        <v>257</v>
      </c>
      <c r="B258" s="22" t="s">
        <v>1132</v>
      </c>
      <c r="C258" s="29" t="s">
        <v>1223</v>
      </c>
      <c r="D258" s="23" t="s">
        <v>1224</v>
      </c>
      <c r="E258" s="24" t="s">
        <v>1225</v>
      </c>
      <c r="F258" s="23" t="s">
        <v>1226</v>
      </c>
      <c r="G258" s="25" t="s">
        <v>26</v>
      </c>
      <c r="H258" s="26" t="s">
        <v>1227</v>
      </c>
      <c r="I258" s="26"/>
      <c r="J258" s="26"/>
      <c r="K258" s="26">
        <v>3</v>
      </c>
      <c r="L258" s="26">
        <f t="shared" ref="L258:L321" si="20">IF(M258="",0,N258)</f>
        <v>0</v>
      </c>
      <c r="M258" s="26"/>
      <c r="N258" s="26" t="str">
        <f t="shared" ref="N258:N321" si="21">IF(M258="", "", IF(M258=1,1,IF(M258=2,3,IF(M258=3,5,""))))</f>
        <v/>
      </c>
      <c r="O258" s="26" t="str">
        <f t="shared" ref="O258:O321" si="22">IF(M258="", "", N258 * IF(K258="",1,K258))</f>
        <v/>
      </c>
      <c r="P258" s="26">
        <f t="shared" ref="P258:P266" si="23">5 * IF(K258="",1,K258)</f>
        <v>15</v>
      </c>
      <c r="Q258" s="26" t="str">
        <f t="shared" ref="Q258:Q321" si="24">IF(M258="", "", (O258 / P258) * 5)</f>
        <v/>
      </c>
      <c r="R258" s="27"/>
      <c r="S258" s="27" t="s">
        <v>28</v>
      </c>
      <c r="T258" s="27" t="s">
        <v>28</v>
      </c>
      <c r="U258" s="28"/>
    </row>
    <row r="259" spans="1:21" ht="57.6" customHeight="1" x14ac:dyDescent="0.25">
      <c r="A259" s="21">
        <v>258</v>
      </c>
      <c r="B259" s="22" t="s">
        <v>1132</v>
      </c>
      <c r="C259" s="29" t="s">
        <v>1228</v>
      </c>
      <c r="D259" s="23" t="s">
        <v>1229</v>
      </c>
      <c r="E259" s="24" t="s">
        <v>1230</v>
      </c>
      <c r="F259" s="23" t="s">
        <v>1231</v>
      </c>
      <c r="G259" s="25" t="s">
        <v>26</v>
      </c>
      <c r="H259" s="26" t="s">
        <v>1232</v>
      </c>
      <c r="I259" s="26"/>
      <c r="J259" s="26"/>
      <c r="K259" s="26">
        <v>4</v>
      </c>
      <c r="L259" s="26">
        <f t="shared" si="20"/>
        <v>0</v>
      </c>
      <c r="M259" s="26"/>
      <c r="N259" s="26" t="str">
        <f t="shared" si="21"/>
        <v/>
      </c>
      <c r="O259" s="26" t="str">
        <f t="shared" si="22"/>
        <v/>
      </c>
      <c r="P259" s="26">
        <f t="shared" si="23"/>
        <v>20</v>
      </c>
      <c r="Q259" s="26" t="str">
        <f t="shared" si="24"/>
        <v/>
      </c>
      <c r="R259" s="27"/>
      <c r="S259" s="27"/>
      <c r="T259" s="27"/>
      <c r="U259" s="28"/>
    </row>
    <row r="260" spans="1:21" ht="72" customHeight="1" x14ac:dyDescent="0.25">
      <c r="A260" s="21">
        <v>259</v>
      </c>
      <c r="B260" s="22" t="s">
        <v>1132</v>
      </c>
      <c r="C260" s="29" t="s">
        <v>1233</v>
      </c>
      <c r="D260" s="23" t="s">
        <v>1234</v>
      </c>
      <c r="E260" s="24" t="s">
        <v>1235</v>
      </c>
      <c r="F260" s="23" t="s">
        <v>1236</v>
      </c>
      <c r="G260" s="25" t="s">
        <v>26</v>
      </c>
      <c r="H260" s="26" t="s">
        <v>1237</v>
      </c>
      <c r="I260" s="26"/>
      <c r="J260" s="26"/>
      <c r="K260" s="26">
        <v>3</v>
      </c>
      <c r="L260" s="26">
        <f t="shared" si="20"/>
        <v>0</v>
      </c>
      <c r="M260" s="26"/>
      <c r="N260" s="26" t="str">
        <f t="shared" si="21"/>
        <v/>
      </c>
      <c r="O260" s="26" t="str">
        <f t="shared" si="22"/>
        <v/>
      </c>
      <c r="P260" s="26">
        <f t="shared" si="23"/>
        <v>15</v>
      </c>
      <c r="Q260" s="26" t="str">
        <f t="shared" si="24"/>
        <v/>
      </c>
      <c r="R260" s="27"/>
      <c r="S260" s="27"/>
      <c r="T260" s="27" t="s">
        <v>28</v>
      </c>
      <c r="U260" s="28"/>
    </row>
    <row r="261" spans="1:21" ht="72" customHeight="1" x14ac:dyDescent="0.25">
      <c r="A261" s="21">
        <v>260</v>
      </c>
      <c r="B261" s="22" t="s">
        <v>1132</v>
      </c>
      <c r="C261" s="6" t="s">
        <v>1238</v>
      </c>
      <c r="D261" s="23" t="s">
        <v>1239</v>
      </c>
      <c r="E261" s="24" t="s">
        <v>1240</v>
      </c>
      <c r="F261" s="23" t="s">
        <v>1241</v>
      </c>
      <c r="G261" s="25" t="s">
        <v>26</v>
      </c>
      <c r="H261" s="26" t="s">
        <v>1242</v>
      </c>
      <c r="I261" s="26"/>
      <c r="J261" s="26"/>
      <c r="K261" s="26">
        <v>5</v>
      </c>
      <c r="L261" s="26">
        <f t="shared" si="20"/>
        <v>0</v>
      </c>
      <c r="M261" s="26"/>
      <c r="N261" s="26" t="str">
        <f t="shared" si="21"/>
        <v/>
      </c>
      <c r="O261" s="26" t="str">
        <f t="shared" si="22"/>
        <v/>
      </c>
      <c r="P261" s="26">
        <f t="shared" si="23"/>
        <v>25</v>
      </c>
      <c r="Q261" s="26" t="str">
        <f t="shared" si="24"/>
        <v/>
      </c>
      <c r="R261" s="27"/>
      <c r="S261" s="27" t="s">
        <v>28</v>
      </c>
      <c r="T261" s="27" t="s">
        <v>28</v>
      </c>
      <c r="U261" s="28"/>
    </row>
    <row r="262" spans="1:21" ht="72" customHeight="1" x14ac:dyDescent="0.25">
      <c r="A262" s="21">
        <v>261</v>
      </c>
      <c r="B262" s="22" t="s">
        <v>1132</v>
      </c>
      <c r="C262" s="29" t="s">
        <v>1243</v>
      </c>
      <c r="D262" s="23" t="s">
        <v>1244</v>
      </c>
      <c r="E262" s="24" t="s">
        <v>1245</v>
      </c>
      <c r="F262" s="23" t="s">
        <v>1246</v>
      </c>
      <c r="G262" s="25" t="s">
        <v>26</v>
      </c>
      <c r="H262" s="26" t="s">
        <v>1247</v>
      </c>
      <c r="I262" s="26"/>
      <c r="J262" s="26"/>
      <c r="K262" s="26">
        <v>5</v>
      </c>
      <c r="L262" s="26">
        <f t="shared" si="20"/>
        <v>0</v>
      </c>
      <c r="M262" s="26"/>
      <c r="N262" s="26" t="str">
        <f t="shared" si="21"/>
        <v/>
      </c>
      <c r="O262" s="26" t="str">
        <f t="shared" si="22"/>
        <v/>
      </c>
      <c r="P262" s="26">
        <f t="shared" si="23"/>
        <v>25</v>
      </c>
      <c r="Q262" s="26" t="str">
        <f t="shared" si="24"/>
        <v/>
      </c>
      <c r="R262" s="27"/>
      <c r="S262" s="27" t="s">
        <v>28</v>
      </c>
      <c r="T262" s="27" t="s">
        <v>28</v>
      </c>
      <c r="U262" s="28"/>
    </row>
    <row r="263" spans="1:21" ht="57.6" customHeight="1" x14ac:dyDescent="0.25">
      <c r="A263" s="21">
        <v>262</v>
      </c>
      <c r="B263" s="22" t="s">
        <v>1132</v>
      </c>
      <c r="C263" s="29" t="s">
        <v>1248</v>
      </c>
      <c r="D263" s="23" t="s">
        <v>1249</v>
      </c>
      <c r="E263" s="24" t="s">
        <v>1250</v>
      </c>
      <c r="F263" s="23" t="s">
        <v>1251</v>
      </c>
      <c r="G263" s="25" t="s">
        <v>26</v>
      </c>
      <c r="H263" s="26" t="s">
        <v>1252</v>
      </c>
      <c r="I263" s="26"/>
      <c r="J263" s="26"/>
      <c r="K263" s="26">
        <v>5</v>
      </c>
      <c r="L263" s="26">
        <f t="shared" si="20"/>
        <v>0</v>
      </c>
      <c r="M263" s="26"/>
      <c r="N263" s="26" t="str">
        <f t="shared" si="21"/>
        <v/>
      </c>
      <c r="O263" s="26" t="str">
        <f t="shared" si="22"/>
        <v/>
      </c>
      <c r="P263" s="26">
        <f t="shared" si="23"/>
        <v>25</v>
      </c>
      <c r="Q263" s="26" t="str">
        <f t="shared" si="24"/>
        <v/>
      </c>
      <c r="R263" s="27" t="s">
        <v>28</v>
      </c>
      <c r="S263" s="27" t="s">
        <v>28</v>
      </c>
      <c r="T263" s="27" t="s">
        <v>28</v>
      </c>
      <c r="U263" s="28"/>
    </row>
    <row r="264" spans="1:21" ht="57.6" customHeight="1" x14ac:dyDescent="0.25">
      <c r="A264" s="21">
        <v>263</v>
      </c>
      <c r="B264" s="22" t="s">
        <v>1132</v>
      </c>
      <c r="C264" s="29" t="s">
        <v>1253</v>
      </c>
      <c r="D264" s="23" t="s">
        <v>1254</v>
      </c>
      <c r="E264" s="24" t="s">
        <v>1255</v>
      </c>
      <c r="F264" s="23" t="s">
        <v>1256</v>
      </c>
      <c r="G264" s="25" t="s">
        <v>26</v>
      </c>
      <c r="H264" s="26" t="s">
        <v>1257</v>
      </c>
      <c r="I264" s="26"/>
      <c r="J264" s="26"/>
      <c r="K264" s="26">
        <v>5</v>
      </c>
      <c r="L264" s="26">
        <f t="shared" si="20"/>
        <v>0</v>
      </c>
      <c r="M264" s="26"/>
      <c r="N264" s="26" t="str">
        <f t="shared" si="21"/>
        <v/>
      </c>
      <c r="O264" s="26" t="str">
        <f t="shared" si="22"/>
        <v/>
      </c>
      <c r="P264" s="26">
        <f t="shared" si="23"/>
        <v>25</v>
      </c>
      <c r="Q264" s="26" t="str">
        <f t="shared" si="24"/>
        <v/>
      </c>
      <c r="R264" s="27"/>
      <c r="S264" s="27" t="s">
        <v>28</v>
      </c>
      <c r="T264" s="27" t="s">
        <v>28</v>
      </c>
      <c r="U264" s="28"/>
    </row>
    <row r="265" spans="1:21" ht="72" customHeight="1" x14ac:dyDescent="0.25">
      <c r="A265" s="21">
        <v>264</v>
      </c>
      <c r="B265" s="22" t="s">
        <v>1132</v>
      </c>
      <c r="C265" s="29" t="s">
        <v>1258</v>
      </c>
      <c r="D265" s="23" t="s">
        <v>1259</v>
      </c>
      <c r="E265" s="24" t="s">
        <v>1260</v>
      </c>
      <c r="F265" s="23" t="s">
        <v>1261</v>
      </c>
      <c r="G265" s="25" t="s">
        <v>26</v>
      </c>
      <c r="H265" s="26" t="s">
        <v>1262</v>
      </c>
      <c r="I265" s="26"/>
      <c r="J265" s="26"/>
      <c r="K265" s="26">
        <v>5</v>
      </c>
      <c r="L265" s="26">
        <f t="shared" si="20"/>
        <v>0</v>
      </c>
      <c r="M265" s="26"/>
      <c r="N265" s="26" t="str">
        <f t="shared" si="21"/>
        <v/>
      </c>
      <c r="O265" s="26" t="str">
        <f t="shared" si="22"/>
        <v/>
      </c>
      <c r="P265" s="26">
        <f t="shared" si="23"/>
        <v>25</v>
      </c>
      <c r="Q265" s="26" t="str">
        <f t="shared" si="24"/>
        <v/>
      </c>
      <c r="R265" s="27"/>
      <c r="S265" s="27" t="s">
        <v>28</v>
      </c>
      <c r="T265" s="27"/>
      <c r="U265" s="28"/>
    </row>
    <row r="266" spans="1:21" ht="72" customHeight="1" x14ac:dyDescent="0.25">
      <c r="A266" s="21">
        <v>265</v>
      </c>
      <c r="B266" s="22" t="s">
        <v>1132</v>
      </c>
      <c r="C266" s="29" t="s">
        <v>1263</v>
      </c>
      <c r="D266" s="23" t="s">
        <v>1264</v>
      </c>
      <c r="E266" s="24" t="s">
        <v>1265</v>
      </c>
      <c r="F266" s="23" t="s">
        <v>1266</v>
      </c>
      <c r="G266" s="25" t="s">
        <v>26</v>
      </c>
      <c r="H266" s="26" t="s">
        <v>1267</v>
      </c>
      <c r="I266" s="26"/>
      <c r="J266" s="26"/>
      <c r="K266" s="26">
        <v>5</v>
      </c>
      <c r="L266" s="26">
        <f t="shared" si="20"/>
        <v>0</v>
      </c>
      <c r="M266" s="26"/>
      <c r="N266" s="26" t="str">
        <f t="shared" si="21"/>
        <v/>
      </c>
      <c r="O266" s="26" t="str">
        <f t="shared" si="22"/>
        <v/>
      </c>
      <c r="P266" s="26">
        <f t="shared" si="23"/>
        <v>25</v>
      </c>
      <c r="Q266" s="26" t="str">
        <f t="shared" si="24"/>
        <v/>
      </c>
      <c r="R266" s="27"/>
      <c r="S266" s="27" t="s">
        <v>28</v>
      </c>
      <c r="T266" s="27" t="s">
        <v>28</v>
      </c>
      <c r="U266" s="28"/>
    </row>
  </sheetData>
  <autoFilter ref="A1:Q204" xr:uid="{00000000-0009-0000-0000-000000000000}"/>
  <dataValidations count="1">
    <dataValidation type="list" allowBlank="1" showDropDown="1" errorTitle="Invalid selection" error="Please select 1, 2, or 3." promptTitle="Answer" prompt="Choose an option" sqref="M2:M266" xr:uid="{00000000-0002-0000-0000-000000000000}">
      <formula1>"1,2,3"</formula1>
    </dataValidation>
  </dataValidation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pane ySplit="1" topLeftCell="A2" activePane="bottomLeft" state="frozen"/>
      <selection pane="bottomLeft" activeCell="D15" sqref="D15"/>
    </sheetView>
  </sheetViews>
  <sheetFormatPr defaultRowHeight="15" x14ac:dyDescent="0.25"/>
  <cols>
    <col min="1" max="2" width="22" customWidth="1"/>
    <col min="4" max="4" width="103.140625" style="5" bestFit="1" customWidth="1"/>
  </cols>
  <sheetData>
    <row r="1" spans="1:4" x14ac:dyDescent="0.25">
      <c r="A1" s="4" t="s">
        <v>1268</v>
      </c>
      <c r="B1" s="4" t="s">
        <v>1269</v>
      </c>
    </row>
    <row r="2" spans="1:4" ht="28.9" customHeight="1" x14ac:dyDescent="0.25">
      <c r="A2" t="s">
        <v>1270</v>
      </c>
      <c r="B2" t="s">
        <v>1271</v>
      </c>
      <c r="D2" s="5" t="s">
        <v>1272</v>
      </c>
    </row>
    <row r="3" spans="1:4" x14ac:dyDescent="0.25">
      <c r="A3" t="s">
        <v>1273</v>
      </c>
      <c r="B3">
        <v>0</v>
      </c>
    </row>
    <row r="4" spans="1:4" x14ac:dyDescent="0.25">
      <c r="A4" t="s">
        <v>1274</v>
      </c>
      <c r="B4">
        <v>34.9</v>
      </c>
    </row>
    <row r="5" spans="1:4" ht="28.9" customHeight="1" x14ac:dyDescent="0.25">
      <c r="A5" t="s">
        <v>1275</v>
      </c>
      <c r="B5" t="s">
        <v>1276</v>
      </c>
      <c r="D5" s="5" t="s">
        <v>1277</v>
      </c>
    </row>
    <row r="6" spans="1:4" x14ac:dyDescent="0.25">
      <c r="A6" t="s">
        <v>1278</v>
      </c>
      <c r="B6">
        <v>35</v>
      </c>
    </row>
    <row r="7" spans="1:4" x14ac:dyDescent="0.25">
      <c r="A7" t="s">
        <v>1279</v>
      </c>
      <c r="B7">
        <v>59.9</v>
      </c>
    </row>
    <row r="8" spans="1:4" ht="28.9" customHeight="1" x14ac:dyDescent="0.25">
      <c r="A8" t="s">
        <v>1280</v>
      </c>
      <c r="B8" t="s">
        <v>1281</v>
      </c>
      <c r="D8" s="5" t="s">
        <v>1282</v>
      </c>
    </row>
    <row r="9" spans="1:4" x14ac:dyDescent="0.25">
      <c r="A9" t="s">
        <v>1283</v>
      </c>
      <c r="B9">
        <v>60</v>
      </c>
    </row>
    <row r="10" spans="1:4" x14ac:dyDescent="0.25">
      <c r="A10" t="s">
        <v>1284</v>
      </c>
      <c r="B10">
        <v>79.900000000000006</v>
      </c>
    </row>
    <row r="11" spans="1:4" ht="28.9" customHeight="1" x14ac:dyDescent="0.25">
      <c r="A11" t="s">
        <v>1285</v>
      </c>
      <c r="B11" t="s">
        <v>1286</v>
      </c>
      <c r="D11" s="5" t="s">
        <v>1287</v>
      </c>
    </row>
    <row r="12" spans="1:4" x14ac:dyDescent="0.25">
      <c r="A12" t="s">
        <v>1288</v>
      </c>
      <c r="B12">
        <v>80</v>
      </c>
    </row>
    <row r="13" spans="1:4" x14ac:dyDescent="0.25">
      <c r="A13" t="s">
        <v>1289</v>
      </c>
      <c r="B13">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
  <sheetViews>
    <sheetView workbookViewId="0">
      <pane ySplit="1" topLeftCell="A2" activePane="bottomLeft" state="frozen"/>
      <selection pane="bottomLeft" activeCell="A2" sqref="A2:A8"/>
    </sheetView>
  </sheetViews>
  <sheetFormatPr defaultRowHeight="15" x14ac:dyDescent="0.25"/>
  <cols>
    <col min="1" max="1" width="40" customWidth="1"/>
    <col min="2" max="2" width="18" customWidth="1"/>
    <col min="3" max="3" width="20" customWidth="1"/>
    <col min="4" max="4" width="16" customWidth="1"/>
    <col min="5" max="6" width="18" customWidth="1"/>
  </cols>
  <sheetData>
    <row r="1" spans="1:6" ht="28.9" customHeight="1" x14ac:dyDescent="0.25">
      <c r="A1" s="1" t="s">
        <v>1</v>
      </c>
      <c r="B1" s="1" t="s">
        <v>1290</v>
      </c>
      <c r="C1" s="1" t="s">
        <v>1291</v>
      </c>
      <c r="D1" s="1" t="s">
        <v>1292</v>
      </c>
      <c r="E1" s="1" t="s">
        <v>1293</v>
      </c>
      <c r="F1" s="1" t="s">
        <v>1294</v>
      </c>
    </row>
    <row r="2" spans="1:6" x14ac:dyDescent="0.25">
      <c r="A2" s="3" t="s">
        <v>21</v>
      </c>
      <c r="B2" s="3">
        <f>COUNTIF(Sheet!$B$2:$B$266,A2)</f>
        <v>37</v>
      </c>
      <c r="C2" s="3">
        <f>SUMIF(Sheet!$B$2:$B$266,A2,Sheet!$O$2:$O$266)</f>
        <v>0</v>
      </c>
      <c r="D2" s="3">
        <f>SUMIF(Sheet!$B$2:$B$266,A2,Sheet!$P$2:$P$266)</f>
        <v>655</v>
      </c>
      <c r="E2" s="3">
        <f t="shared" ref="E2:E8" si="0">IF(D2=0,"", ROUND((C2/D2)*5, 2))</f>
        <v>0</v>
      </c>
      <c r="F2" s="3">
        <f t="shared" ref="F2:F8" si="1">IF(D2=0,"", ROUND((C2/D2)*100, 1))</f>
        <v>0</v>
      </c>
    </row>
    <row r="3" spans="1:6" x14ac:dyDescent="0.25">
      <c r="A3" s="3" t="s">
        <v>207</v>
      </c>
      <c r="B3" s="3">
        <f>COUNTIF(Sheet!$B$2:$B$266,A3)</f>
        <v>64</v>
      </c>
      <c r="C3" s="3">
        <f>SUMIF(Sheet!$B$2:$B$266,A3,Sheet!$O$2:$O$266)</f>
        <v>0</v>
      </c>
      <c r="D3" s="3">
        <f>SUMIF(Sheet!$B$2:$B$266,A3,Sheet!$P$2:$P$266)</f>
        <v>1120</v>
      </c>
      <c r="E3" s="3">
        <f t="shared" si="0"/>
        <v>0</v>
      </c>
      <c r="F3" s="3">
        <f t="shared" si="1"/>
        <v>0</v>
      </c>
    </row>
    <row r="4" spans="1:6" x14ac:dyDescent="0.25">
      <c r="A4" s="3" t="s">
        <v>476</v>
      </c>
      <c r="B4" s="3">
        <f>COUNTIF(Sheet!$B$2:$B$266,A4)</f>
        <v>25</v>
      </c>
      <c r="C4" s="3">
        <f>SUMIF(Sheet!$B$2:$B$266,A4,Sheet!$O$2:$O$266)</f>
        <v>0</v>
      </c>
      <c r="D4" s="3">
        <f>SUMIF(Sheet!$B$2:$B$266,A4,Sheet!$P$2:$P$266)</f>
        <v>555</v>
      </c>
      <c r="E4" s="3">
        <f t="shared" si="0"/>
        <v>0</v>
      </c>
      <c r="F4" s="3">
        <f t="shared" si="1"/>
        <v>0</v>
      </c>
    </row>
    <row r="5" spans="1:6" x14ac:dyDescent="0.25">
      <c r="A5" s="3" t="s">
        <v>590</v>
      </c>
      <c r="B5" s="3">
        <f>COUNTIF(Sheet!$B$2:$B$266,A5)</f>
        <v>33</v>
      </c>
      <c r="C5" s="3">
        <f>SUMIF(Sheet!$B$2:$B$266,A5,Sheet!$O$2:$O$266)</f>
        <v>0</v>
      </c>
      <c r="D5" s="3">
        <f>SUMIF(Sheet!$B$2:$B$266,A5,Sheet!$P$2:$P$266)</f>
        <v>585</v>
      </c>
      <c r="E5" s="3">
        <f t="shared" si="0"/>
        <v>0</v>
      </c>
      <c r="F5" s="3">
        <f t="shared" si="1"/>
        <v>0</v>
      </c>
    </row>
    <row r="6" spans="1:6" x14ac:dyDescent="0.25">
      <c r="A6" s="3" t="s">
        <v>750</v>
      </c>
      <c r="B6" s="3">
        <f>COUNTIF(Sheet!$B$2:$B$266,A6)</f>
        <v>38</v>
      </c>
      <c r="C6" s="3">
        <f>SUMIF(Sheet!$B$2:$B$266,A6,Sheet!$O$2:$O$266)</f>
        <v>0</v>
      </c>
      <c r="D6" s="3">
        <f>SUMIF(Sheet!$B$2:$B$266,A6,Sheet!$P$2:$P$266)</f>
        <v>755</v>
      </c>
      <c r="E6" s="3">
        <f t="shared" si="0"/>
        <v>0</v>
      </c>
      <c r="F6" s="3">
        <f t="shared" si="1"/>
        <v>0</v>
      </c>
    </row>
    <row r="7" spans="1:6" x14ac:dyDescent="0.25">
      <c r="A7" s="3" t="s">
        <v>929</v>
      </c>
      <c r="B7" s="3">
        <f>COUNTIF(Sheet!$B$2:$B$266,A7)</f>
        <v>41</v>
      </c>
      <c r="C7" s="3">
        <f>SUMIF(Sheet!$B$2:$B$266,A7,Sheet!$O$2:$O$266)</f>
        <v>0</v>
      </c>
      <c r="D7" s="3">
        <f>SUMIF(Sheet!$B$2:$B$266,A7,Sheet!$P$2:$P$266)</f>
        <v>815</v>
      </c>
      <c r="E7" s="3">
        <f t="shared" si="0"/>
        <v>0</v>
      </c>
      <c r="F7" s="3">
        <f t="shared" si="1"/>
        <v>0</v>
      </c>
    </row>
    <row r="8" spans="1:6" x14ac:dyDescent="0.25">
      <c r="A8" s="3" t="s">
        <v>1132</v>
      </c>
      <c r="B8" s="3">
        <f>COUNTIF(Sheet!$B$2:$B$266,A8)</f>
        <v>27</v>
      </c>
      <c r="C8" s="3">
        <f>SUMIF(Sheet!$B$2:$B$266,A8,Sheet!$O$2:$O$266)</f>
        <v>0</v>
      </c>
      <c r="D8" s="3">
        <f>SUMIF(Sheet!$B$2:$B$266,A8,Sheet!$P$2:$P$266)</f>
        <v>540</v>
      </c>
      <c r="E8" s="3">
        <f t="shared" si="0"/>
        <v>0</v>
      </c>
      <c r="F8" s="3">
        <f t="shared" si="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
  <sheetViews>
    <sheetView workbookViewId="0">
      <pane ySplit="1" topLeftCell="A2" activePane="bottomLeft" state="frozen"/>
      <selection pane="bottomLeft"/>
    </sheetView>
  </sheetViews>
  <sheetFormatPr defaultRowHeight="15" x14ac:dyDescent="0.25"/>
  <cols>
    <col min="1" max="1" width="40" customWidth="1"/>
    <col min="2" max="3" width="12" customWidth="1"/>
  </cols>
  <sheetData>
    <row r="1" spans="1:3" x14ac:dyDescent="0.25">
      <c r="A1" s="1" t="s">
        <v>1</v>
      </c>
      <c r="B1" s="1" t="s">
        <v>1295</v>
      </c>
      <c r="C1" s="1" t="s">
        <v>1296</v>
      </c>
    </row>
    <row r="2" spans="1:3" x14ac:dyDescent="0.25">
      <c r="A2" t="str">
        <f>Dimension_Summary!A2</f>
        <v>Data Readiness</v>
      </c>
      <c r="B2">
        <f>Dimension_Summary!E2</f>
        <v>0</v>
      </c>
      <c r="C2">
        <f>Dimension_Summary!F2</f>
        <v>0</v>
      </c>
    </row>
    <row r="3" spans="1:3" x14ac:dyDescent="0.25">
      <c r="A3" t="str">
        <f>Dimension_Summary!A3</f>
        <v>Operations, Culture &amp; Delivery</v>
      </c>
      <c r="B3">
        <f>Dimension_Summary!E3</f>
        <v>0</v>
      </c>
      <c r="C3">
        <f>Dimension_Summary!F3</f>
        <v>0</v>
      </c>
    </row>
    <row r="4" spans="1:3" x14ac:dyDescent="0.25">
      <c r="A4" t="str">
        <f>Dimension_Summary!A4</f>
        <v>Risk, Compliance &amp; Responsible AI</v>
      </c>
      <c r="B4">
        <f>Dimension_Summary!E4</f>
        <v>0</v>
      </c>
      <c r="C4">
        <f>Dimension_Summary!F4</f>
        <v>0</v>
      </c>
    </row>
    <row r="5" spans="1:3" x14ac:dyDescent="0.25">
      <c r="A5" t="str">
        <f>Dimension_Summary!A5</f>
        <v>Skills &amp; Organizational Capability</v>
      </c>
      <c r="B5">
        <f>Dimension_Summary!E5</f>
        <v>0</v>
      </c>
      <c r="C5">
        <f>Dimension_Summary!F5</f>
        <v>0</v>
      </c>
    </row>
    <row r="6" spans="1:3" x14ac:dyDescent="0.25">
      <c r="A6" t="str">
        <f>Dimension_Summary!A6</f>
        <v>Strategic &amp; Leadership Readiness</v>
      </c>
      <c r="B6">
        <f>Dimension_Summary!E6</f>
        <v>0</v>
      </c>
      <c r="C6">
        <f>Dimension_Summary!F6</f>
        <v>0</v>
      </c>
    </row>
    <row r="7" spans="1:3" x14ac:dyDescent="0.25">
      <c r="A7" t="str">
        <f>Dimension_Summary!A7</f>
        <v>Technology Infrastructure &amp; Tooling</v>
      </c>
      <c r="B7">
        <f>Dimension_Summary!E7</f>
        <v>0</v>
      </c>
      <c r="C7">
        <f>Dimension_Summary!F7</f>
        <v>0</v>
      </c>
    </row>
    <row r="8" spans="1:3" x14ac:dyDescent="0.25">
      <c r="A8" t="str">
        <f>Dimension_Summary!A8</f>
        <v>Use Case Maturity &amp; Adoption</v>
      </c>
      <c r="B8">
        <f>Dimension_Summary!E8</f>
        <v>0</v>
      </c>
      <c r="C8">
        <f>Dimension_Summary!F8</f>
        <v>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pane ySplit="1" topLeftCell="A2" activePane="bottomLeft" state="frozen"/>
      <selection pane="bottomLeft"/>
    </sheetView>
  </sheetViews>
  <sheetFormatPr defaultRowHeight="15" x14ac:dyDescent="0.25"/>
  <cols>
    <col min="1" max="1" width="28" customWidth="1"/>
    <col min="2" max="2" width="22" customWidth="1"/>
  </cols>
  <sheetData>
    <row r="1" spans="1:2" x14ac:dyDescent="0.25">
      <c r="A1" s="4" t="s">
        <v>1297</v>
      </c>
      <c r="B1" s="4" t="s">
        <v>1269</v>
      </c>
    </row>
    <row r="2" spans="1:2" ht="30" customHeight="1" x14ac:dyDescent="0.25">
      <c r="A2" s="3" t="s">
        <v>1298</v>
      </c>
      <c r="B2" s="3" t="e">
        <f>SUMPRODUCT((Sheet!$M$2:$M$266&lt;&gt;"")*IFERROR(Sheet!$O$2:$O$266,0))</f>
        <v>#VALUE!</v>
      </c>
    </row>
    <row r="3" spans="1:2" x14ac:dyDescent="0.25">
      <c r="A3" s="3" t="s">
        <v>1299</v>
      </c>
      <c r="B3" s="3">
        <f>SUMPRODUCT((Sheet!$M$2:$M$266&lt;&gt;"")*Sheet!$P$2:$P$266)</f>
        <v>0</v>
      </c>
    </row>
    <row r="4" spans="1:2" x14ac:dyDescent="0.25">
      <c r="A4" s="3" t="s">
        <v>1300</v>
      </c>
      <c r="B4" s="3" t="str">
        <f>IF(B3=0,"", ROUND((B2/B3)*5, 2))</f>
        <v/>
      </c>
    </row>
    <row r="5" spans="1:2" x14ac:dyDescent="0.25">
      <c r="A5" s="3" t="s">
        <v>1301</v>
      </c>
      <c r="B5" s="3" t="str">
        <f>IF(B3=0,"", ROUND((B2/B3)*100, 1))</f>
        <v/>
      </c>
    </row>
    <row r="6" spans="1:2" x14ac:dyDescent="0.25">
      <c r="A6" s="3" t="s">
        <v>1302</v>
      </c>
      <c r="B6" s="3" t="str">
        <f>IF(B5="","",IF(B5&lt;=Config!B4,Config!B2,IF(B5&lt;=Config!B7,Config!B5,IF(B5&lt;=Config!B10,Config!B8,Config!B11))))</f>
        <v/>
      </c>
    </row>
    <row r="7" spans="1:2" x14ac:dyDescent="0.25">
      <c r="A7" t="s">
        <v>1303</v>
      </c>
      <c r="B7">
        <f>COUNTIF(Sheet!$M$2:$M$266,"&lt;&gt;"&amp;"")</f>
        <v>0</v>
      </c>
    </row>
    <row r="8" spans="1:2" x14ac:dyDescent="0.25">
      <c r="A8" t="s">
        <v>1304</v>
      </c>
      <c r="B8">
        <f>COUNTA(Sheet!$A$2:$A$266)</f>
        <v>265</v>
      </c>
    </row>
    <row r="9" spans="1:2" x14ac:dyDescent="0.25">
      <c r="A9" t="s">
        <v>1305</v>
      </c>
      <c r="B9">
        <f>IF(B8=0,"",ROUND(B7/B8*100,1))</f>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workbookViewId="0">
      <selection activeCell="D1" sqref="D1"/>
    </sheetView>
  </sheetViews>
  <sheetFormatPr defaultRowHeight="15" x14ac:dyDescent="0.25"/>
  <cols>
    <col min="1" max="1" width="24.28515625" bestFit="1" customWidth="1"/>
    <col min="2" max="2" width="28.7109375" bestFit="1" customWidth="1"/>
    <col min="3" max="3" width="128.140625" bestFit="1" customWidth="1"/>
    <col min="4" max="4" width="48.42578125" bestFit="1" customWidth="1"/>
  </cols>
  <sheetData>
    <row r="1" spans="1:4" x14ac:dyDescent="0.25">
      <c r="A1" t="s">
        <v>1306</v>
      </c>
      <c r="B1" t="s">
        <v>1307</v>
      </c>
      <c r="C1" t="s">
        <v>1308</v>
      </c>
      <c r="D1" t="s">
        <v>1309</v>
      </c>
    </row>
    <row r="2" spans="1:4" x14ac:dyDescent="0.25">
      <c r="A2" t="s">
        <v>0</v>
      </c>
      <c r="B2" t="s">
        <v>1310</v>
      </c>
      <c r="C2" t="s">
        <v>1311</v>
      </c>
      <c r="D2" t="s">
        <v>1312</v>
      </c>
    </row>
    <row r="3" spans="1:4" x14ac:dyDescent="0.25">
      <c r="A3" t="s">
        <v>1</v>
      </c>
      <c r="B3" t="s">
        <v>1313</v>
      </c>
      <c r="C3" t="s">
        <v>1314</v>
      </c>
      <c r="D3" t="s">
        <v>21</v>
      </c>
    </row>
    <row r="4" spans="1:4" x14ac:dyDescent="0.25">
      <c r="A4" t="s">
        <v>2</v>
      </c>
      <c r="B4" t="s">
        <v>1315</v>
      </c>
      <c r="C4" t="s">
        <v>1316</v>
      </c>
      <c r="D4" t="s">
        <v>22</v>
      </c>
    </row>
    <row r="5" spans="1:4" x14ac:dyDescent="0.25">
      <c r="A5" t="s">
        <v>3</v>
      </c>
      <c r="B5" t="s">
        <v>1317</v>
      </c>
      <c r="C5" t="s">
        <v>1318</v>
      </c>
      <c r="D5" t="s">
        <v>1319</v>
      </c>
    </row>
    <row r="6" spans="1:4" x14ac:dyDescent="0.25">
      <c r="A6" t="s">
        <v>4</v>
      </c>
      <c r="B6" t="s">
        <v>1320</v>
      </c>
      <c r="C6" t="s">
        <v>1321</v>
      </c>
      <c r="D6" t="s">
        <v>1322</v>
      </c>
    </row>
    <row r="7" spans="1:4" x14ac:dyDescent="0.25">
      <c r="A7" t="s">
        <v>5</v>
      </c>
      <c r="B7" t="s">
        <v>1323</v>
      </c>
      <c r="C7" t="s">
        <v>1324</v>
      </c>
      <c r="D7" t="s">
        <v>1325</v>
      </c>
    </row>
    <row r="8" spans="1:4" x14ac:dyDescent="0.25">
      <c r="A8" t="s">
        <v>1326</v>
      </c>
      <c r="B8" t="s">
        <v>1327</v>
      </c>
      <c r="C8" t="s">
        <v>1328</v>
      </c>
      <c r="D8" t="s">
        <v>26</v>
      </c>
    </row>
    <row r="9" spans="1:4" x14ac:dyDescent="0.25">
      <c r="A9" t="s">
        <v>1329</v>
      </c>
      <c r="B9" t="s">
        <v>1330</v>
      </c>
      <c r="C9" t="s">
        <v>1331</v>
      </c>
      <c r="D9" t="s">
        <v>1332</v>
      </c>
    </row>
    <row r="10" spans="1:4" x14ac:dyDescent="0.25">
      <c r="A10" t="s">
        <v>1333</v>
      </c>
      <c r="B10" t="s">
        <v>1334</v>
      </c>
      <c r="C10" t="s">
        <v>1335</v>
      </c>
      <c r="D10" t="s">
        <v>1336</v>
      </c>
    </row>
    <row r="11" spans="1:4" x14ac:dyDescent="0.25">
      <c r="A11" t="s">
        <v>8</v>
      </c>
      <c r="B11" t="s">
        <v>1337</v>
      </c>
      <c r="C11" t="s">
        <v>1338</v>
      </c>
      <c r="D11" t="s">
        <v>1339</v>
      </c>
    </row>
    <row r="12" spans="1:4" x14ac:dyDescent="0.25">
      <c r="A12" t="s">
        <v>9</v>
      </c>
      <c r="B12" t="s">
        <v>1340</v>
      </c>
      <c r="C12" t="s">
        <v>1341</v>
      </c>
      <c r="D12" t="s">
        <v>1342</v>
      </c>
    </row>
    <row r="13" spans="1:4" x14ac:dyDescent="0.25">
      <c r="A13" t="s">
        <v>1343</v>
      </c>
      <c r="B13" t="s">
        <v>1344</v>
      </c>
      <c r="C13" t="s">
        <v>1345</v>
      </c>
      <c r="D13" t="s">
        <v>27</v>
      </c>
    </row>
    <row r="14" spans="1:4" x14ac:dyDescent="0.25">
      <c r="A14" t="s">
        <v>1346</v>
      </c>
      <c r="B14" t="s">
        <v>1347</v>
      </c>
      <c r="C14" t="s">
        <v>1348</v>
      </c>
      <c r="D14" t="s">
        <v>1349</v>
      </c>
    </row>
    <row r="15" spans="1:4" x14ac:dyDescent="0.25">
      <c r="A15" t="s">
        <v>11</v>
      </c>
      <c r="B15" t="s">
        <v>1350</v>
      </c>
      <c r="C15" t="s">
        <v>1351</v>
      </c>
      <c r="D15" t="s">
        <v>1352</v>
      </c>
    </row>
    <row r="16" spans="1:4" x14ac:dyDescent="0.25">
      <c r="A16" t="s">
        <v>1353</v>
      </c>
      <c r="B16" t="s">
        <v>1354</v>
      </c>
      <c r="C16" t="s">
        <v>1355</v>
      </c>
      <c r="D16" t="s">
        <v>1356</v>
      </c>
    </row>
    <row r="17" spans="1:4" x14ac:dyDescent="0.25">
      <c r="A17" t="s">
        <v>12</v>
      </c>
      <c r="B17" t="s">
        <v>1357</v>
      </c>
      <c r="C17" t="s">
        <v>1358</v>
      </c>
      <c r="D17" t="s">
        <v>1359</v>
      </c>
    </row>
    <row r="18" spans="1:4" x14ac:dyDescent="0.25">
      <c r="A18" t="s">
        <v>13</v>
      </c>
      <c r="B18" t="s">
        <v>1360</v>
      </c>
      <c r="C18" t="s">
        <v>1361</v>
      </c>
      <c r="D18" t="s">
        <v>1352</v>
      </c>
    </row>
    <row r="19" spans="1:4" x14ac:dyDescent="0.25">
      <c r="A19" t="s">
        <v>14</v>
      </c>
      <c r="B19" t="s">
        <v>1362</v>
      </c>
      <c r="C19" t="s">
        <v>1363</v>
      </c>
      <c r="D19" t="s">
        <v>1364</v>
      </c>
    </row>
    <row r="20" spans="1:4" x14ac:dyDescent="0.25">
      <c r="A20" t="s">
        <v>15</v>
      </c>
      <c r="B20" t="s">
        <v>1365</v>
      </c>
      <c r="C20" t="s">
        <v>1366</v>
      </c>
      <c r="D20" t="s">
        <v>1367</v>
      </c>
    </row>
    <row r="21" spans="1:4" x14ac:dyDescent="0.25">
      <c r="A21" t="s">
        <v>16</v>
      </c>
      <c r="B21" t="s">
        <v>1368</v>
      </c>
      <c r="C21" t="s">
        <v>1369</v>
      </c>
      <c r="D21" t="s">
        <v>1370</v>
      </c>
    </row>
    <row r="22" spans="1:4" x14ac:dyDescent="0.25">
      <c r="A22" t="s">
        <v>17</v>
      </c>
      <c r="B22" t="s">
        <v>1371</v>
      </c>
      <c r="C22" t="s">
        <v>1372</v>
      </c>
      <c r="D22" t="s">
        <v>28</v>
      </c>
    </row>
    <row r="23" spans="1:4" x14ac:dyDescent="0.25">
      <c r="A23" t="s">
        <v>18</v>
      </c>
      <c r="B23" t="s">
        <v>1371</v>
      </c>
      <c r="C23" t="s">
        <v>1373</v>
      </c>
      <c r="D23" t="s">
        <v>28</v>
      </c>
    </row>
    <row r="24" spans="1:4" x14ac:dyDescent="0.25">
      <c r="A24" t="s">
        <v>19</v>
      </c>
      <c r="B24" t="s">
        <v>1371</v>
      </c>
      <c r="C24" t="s">
        <v>1374</v>
      </c>
      <c r="D24" t="s">
        <v>28</v>
      </c>
    </row>
    <row r="25" spans="1:4" x14ac:dyDescent="0.25">
      <c r="A25" t="s">
        <v>20</v>
      </c>
      <c r="B25" t="s">
        <v>1371</v>
      </c>
      <c r="C25" t="s">
        <v>1375</v>
      </c>
      <c r="D25" t="s">
        <v>28</v>
      </c>
    </row>
    <row r="26" spans="1:4" x14ac:dyDescent="0.25">
      <c r="A26" t="s">
        <v>1376</v>
      </c>
      <c r="B26" t="s">
        <v>1377</v>
      </c>
      <c r="C26" t="s">
        <v>1378</v>
      </c>
      <c r="D26" t="s">
        <v>1379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3"/>
  <sheetViews>
    <sheetView tabSelected="1" workbookViewId="0">
      <selection sqref="A1:E1"/>
    </sheetView>
  </sheetViews>
  <sheetFormatPr defaultRowHeight="15" x14ac:dyDescent="0.25"/>
  <cols>
    <col min="1" max="1" width="38" customWidth="1"/>
    <col min="2" max="2" width="18" customWidth="1"/>
    <col min="3" max="3" width="20.5703125" customWidth="1"/>
    <col min="4" max="4" width="18" customWidth="1"/>
    <col min="5" max="5" width="24" customWidth="1"/>
  </cols>
  <sheetData>
    <row r="1" spans="1:5" ht="39.950000000000003" customHeight="1" x14ac:dyDescent="0.25">
      <c r="A1" s="76" t="s">
        <v>1380</v>
      </c>
      <c r="B1" s="75"/>
      <c r="C1" s="75"/>
      <c r="D1" s="75"/>
      <c r="E1" s="75"/>
    </row>
    <row r="3" spans="1:5" ht="30" customHeight="1" x14ac:dyDescent="0.25">
      <c r="A3" s="77" t="s">
        <v>1381</v>
      </c>
      <c r="B3" s="75"/>
      <c r="C3" s="77" t="s">
        <v>1382</v>
      </c>
      <c r="D3" s="75"/>
      <c r="E3" s="75"/>
    </row>
    <row r="4" spans="1:5" ht="18.75" x14ac:dyDescent="0.25">
      <c r="A4" s="53" t="s">
        <v>1383</v>
      </c>
      <c r="B4" s="54" t="str">
        <f>Overall_Summary!B4</f>
        <v/>
      </c>
      <c r="C4" s="53" t="s">
        <v>1384</v>
      </c>
      <c r="D4" s="55">
        <f>Overall_Summary!B7</f>
        <v>0</v>
      </c>
      <c r="E4" s="56" t="str">
        <f>Overall_Summary!B8&amp;" vragen totaal"</f>
        <v>265 vragen totaal</v>
      </c>
    </row>
    <row r="5" spans="1:5" ht="18.75" x14ac:dyDescent="0.25">
      <c r="A5" s="53" t="s">
        <v>1385</v>
      </c>
      <c r="B5" s="57" t="str">
        <f>Overall_Summary!B5</f>
        <v/>
      </c>
      <c r="C5" s="53" t="s">
        <v>1386</v>
      </c>
      <c r="D5" s="58">
        <f>Overall_Summary!B9</f>
        <v>0</v>
      </c>
    </row>
    <row r="6" spans="1:5" ht="17.25" x14ac:dyDescent="0.25">
      <c r="A6" s="53" t="s">
        <v>1387</v>
      </c>
      <c r="B6" s="59" t="str">
        <f>Overall_Summary!B6</f>
        <v/>
      </c>
    </row>
    <row r="8" spans="1:5" ht="24.95" customHeight="1" x14ac:dyDescent="0.25">
      <c r="A8" s="77" t="s">
        <v>1388</v>
      </c>
      <c r="B8" s="75"/>
      <c r="C8" s="75"/>
      <c r="D8" s="75"/>
      <c r="E8" s="75"/>
    </row>
    <row r="9" spans="1:5" x14ac:dyDescent="0.25">
      <c r="A9" s="60" t="s">
        <v>1389</v>
      </c>
      <c r="B9" s="60" t="s">
        <v>1383</v>
      </c>
      <c r="C9" s="60" t="s">
        <v>1390</v>
      </c>
      <c r="D9" s="60" t="s">
        <v>1391</v>
      </c>
      <c r="E9" s="60" t="s">
        <v>1387</v>
      </c>
    </row>
    <row r="10" spans="1:5" x14ac:dyDescent="0.25">
      <c r="A10" s="61" t="str">
        <f>Dimension_Summary!A2</f>
        <v>Data Readiness</v>
      </c>
      <c r="B10" s="62">
        <f>Dimension_Summary!E2</f>
        <v>0</v>
      </c>
      <c r="C10" s="63">
        <f>Dimension_Summary!F2</f>
        <v>0</v>
      </c>
      <c r="D10" s="64">
        <f>Dimension_Summary!D2</f>
        <v>655</v>
      </c>
      <c r="E10" s="53" t="str">
        <f>IF(Dimension_Summary!F2="","",IF(Dimension_Summary!F2&lt;=Config!B4,Config!B2,IF(Dimension_Summary!F2&lt;=Config!B7,Config!B5,IF(Dimension_Summary!F2&lt;=Config!B10,Config!B8,Config!B11))))</f>
        <v>Emerging</v>
      </c>
    </row>
    <row r="11" spans="1:5" x14ac:dyDescent="0.25">
      <c r="A11" s="65" t="str">
        <f>Dimension_Summary!A3</f>
        <v>Operations, Culture &amp; Delivery</v>
      </c>
      <c r="B11" s="66">
        <f>Dimension_Summary!E3</f>
        <v>0</v>
      </c>
      <c r="C11" s="67">
        <f>Dimension_Summary!F3</f>
        <v>0</v>
      </c>
      <c r="D11" s="68">
        <f>Dimension_Summary!D3</f>
        <v>1120</v>
      </c>
      <c r="E11" s="69" t="str">
        <f>IF(Dimension_Summary!F3="","",IF(Dimension_Summary!F3&lt;=Config!B4,Config!B2,IF(Dimension_Summary!F3&lt;=Config!B7,Config!B5,IF(Dimension_Summary!F3&lt;=Config!B10,Config!B8,Config!B11))))</f>
        <v>Emerging</v>
      </c>
    </row>
    <row r="12" spans="1:5" x14ac:dyDescent="0.25">
      <c r="A12" s="61" t="str">
        <f>Dimension_Summary!A4</f>
        <v>Risk, Compliance &amp; Responsible AI</v>
      </c>
      <c r="B12" s="62">
        <f>Dimension_Summary!E4</f>
        <v>0</v>
      </c>
      <c r="C12" s="63">
        <f>Dimension_Summary!F4</f>
        <v>0</v>
      </c>
      <c r="D12" s="64">
        <f>Dimension_Summary!D4</f>
        <v>555</v>
      </c>
      <c r="E12" s="53" t="str">
        <f>IF(Dimension_Summary!F4="","",IF(Dimension_Summary!F4&lt;=Config!B4,Config!B2,IF(Dimension_Summary!F4&lt;=Config!B7,Config!B5,IF(Dimension_Summary!F4&lt;=Config!B10,Config!B8,Config!B11))))</f>
        <v>Emerging</v>
      </c>
    </row>
    <row r="13" spans="1:5" x14ac:dyDescent="0.25">
      <c r="A13" s="65" t="str">
        <f>Dimension_Summary!A5</f>
        <v>Skills &amp; Organizational Capability</v>
      </c>
      <c r="B13" s="66">
        <f>Dimension_Summary!E5</f>
        <v>0</v>
      </c>
      <c r="C13" s="67">
        <f>Dimension_Summary!F5</f>
        <v>0</v>
      </c>
      <c r="D13" s="68">
        <f>Dimension_Summary!D5</f>
        <v>585</v>
      </c>
      <c r="E13" s="69" t="str">
        <f>IF(Dimension_Summary!F5="","",IF(Dimension_Summary!F5&lt;=Config!B4,Config!B2,IF(Dimension_Summary!F5&lt;=Config!B7,Config!B5,IF(Dimension_Summary!F5&lt;=Config!B10,Config!B8,Config!B11))))</f>
        <v>Emerging</v>
      </c>
    </row>
    <row r="14" spans="1:5" x14ac:dyDescent="0.25">
      <c r="A14" s="61" t="str">
        <f>Dimension_Summary!A6</f>
        <v>Strategic &amp; Leadership Readiness</v>
      </c>
      <c r="B14" s="62">
        <f>Dimension_Summary!E6</f>
        <v>0</v>
      </c>
      <c r="C14" s="63">
        <f>Dimension_Summary!F6</f>
        <v>0</v>
      </c>
      <c r="D14" s="64">
        <f>Dimension_Summary!D6</f>
        <v>755</v>
      </c>
      <c r="E14" s="53" t="str">
        <f>IF(Dimension_Summary!F6="","",IF(Dimension_Summary!F6&lt;=Config!B4,Config!B2,IF(Dimension_Summary!F6&lt;=Config!B7,Config!B5,IF(Dimension_Summary!F6&lt;=Config!B10,Config!B8,Config!B11))))</f>
        <v>Emerging</v>
      </c>
    </row>
    <row r="15" spans="1:5" x14ac:dyDescent="0.25">
      <c r="A15" s="65" t="str">
        <f>Dimension_Summary!A7</f>
        <v>Technology Infrastructure &amp; Tooling</v>
      </c>
      <c r="B15" s="66">
        <f>Dimension_Summary!E7</f>
        <v>0</v>
      </c>
      <c r="C15" s="67">
        <f>Dimension_Summary!F7</f>
        <v>0</v>
      </c>
      <c r="D15" s="68">
        <f>Dimension_Summary!D7</f>
        <v>815</v>
      </c>
      <c r="E15" s="69" t="str">
        <f>IF(Dimension_Summary!F7="","",IF(Dimension_Summary!F7&lt;=Config!B4,Config!B2,IF(Dimension_Summary!F7&lt;=Config!B7,Config!B5,IF(Dimension_Summary!F7&lt;=Config!B10,Config!B8,Config!B11))))</f>
        <v>Emerging</v>
      </c>
    </row>
    <row r="16" spans="1:5" x14ac:dyDescent="0.25">
      <c r="A16" s="61" t="str">
        <f>Dimension_Summary!A8</f>
        <v>Use Case Maturity &amp; Adoption</v>
      </c>
      <c r="B16" s="62">
        <f>Dimension_Summary!E8</f>
        <v>0</v>
      </c>
      <c r="C16" s="63">
        <f>Dimension_Summary!F8</f>
        <v>0</v>
      </c>
      <c r="D16" s="64">
        <f>Dimension_Summary!D8</f>
        <v>540</v>
      </c>
      <c r="E16" s="53" t="str">
        <f>IF(Dimension_Summary!F8="","",IF(Dimension_Summary!F8&lt;=Config!B4,Config!B2,IF(Dimension_Summary!F8&lt;=Config!B7,Config!B5,IF(Dimension_Summary!F8&lt;=Config!B10,Config!B8,Config!B11))))</f>
        <v>Emerging</v>
      </c>
    </row>
    <row r="18" spans="1:5" ht="24.95" customHeight="1" x14ac:dyDescent="0.25">
      <c r="A18" s="77" t="s">
        <v>1392</v>
      </c>
      <c r="B18" s="75"/>
      <c r="C18" s="75"/>
      <c r="D18" s="75"/>
      <c r="E18" s="75"/>
    </row>
    <row r="19" spans="1:5" x14ac:dyDescent="0.25">
      <c r="A19" s="60" t="s">
        <v>1389</v>
      </c>
      <c r="B19" s="60" t="s">
        <v>1393</v>
      </c>
      <c r="C19" s="60" t="s">
        <v>1394</v>
      </c>
      <c r="D19" s="60" t="s">
        <v>1395</v>
      </c>
      <c r="E19" s="60" t="s">
        <v>1396</v>
      </c>
    </row>
    <row r="20" spans="1:5" x14ac:dyDescent="0.25">
      <c r="A20" s="61" t="str">
        <f>Dimension_Summary!A2</f>
        <v>Data Readiness</v>
      </c>
      <c r="B20" s="63">
        <f>Dimension_Summary!F2</f>
        <v>0</v>
      </c>
      <c r="C20" s="70" t="s">
        <v>1397</v>
      </c>
      <c r="D20" s="63">
        <f>IF(Dimension_Summary!F2="","",ROUND(80-Dimension_Summary!F2,1))</f>
        <v>80</v>
      </c>
      <c r="E20" s="64" t="str">
        <f>IF(Dimension_Summary!F2="","",IF(Dimension_Summary!F2&gt;=80,"✓ Op niveau",IF(Dimension_Summary!F2&gt;=60,"Laag",IF(Dimension_Summary!F2&gt;=40,"Middel","Hoog"))))</f>
        <v>Hoog</v>
      </c>
    </row>
    <row r="21" spans="1:5" x14ac:dyDescent="0.25">
      <c r="A21" s="65" t="str">
        <f>Dimension_Summary!A3</f>
        <v>Operations, Culture &amp; Delivery</v>
      </c>
      <c r="B21" s="67">
        <f>Dimension_Summary!F3</f>
        <v>0</v>
      </c>
      <c r="C21" s="71" t="s">
        <v>1397</v>
      </c>
      <c r="D21" s="67">
        <f>IF(Dimension_Summary!F3="","",ROUND(80-Dimension_Summary!F3,1))</f>
        <v>80</v>
      </c>
      <c r="E21" s="68" t="str">
        <f>IF(Dimension_Summary!F3="","",IF(Dimension_Summary!F3&gt;=80,"✓ Op niveau",IF(Dimension_Summary!F3&gt;=60,"Laag",IF(Dimension_Summary!F3&gt;=40,"Middel","Hoog"))))</f>
        <v>Hoog</v>
      </c>
    </row>
    <row r="22" spans="1:5" x14ac:dyDescent="0.25">
      <c r="A22" s="61" t="str">
        <f>Dimension_Summary!A4</f>
        <v>Risk, Compliance &amp; Responsible AI</v>
      </c>
      <c r="B22" s="63">
        <f>Dimension_Summary!F4</f>
        <v>0</v>
      </c>
      <c r="C22" s="70" t="s">
        <v>1397</v>
      </c>
      <c r="D22" s="63">
        <f>IF(Dimension_Summary!F4="","",ROUND(80-Dimension_Summary!F4,1))</f>
        <v>80</v>
      </c>
      <c r="E22" s="64" t="str">
        <f>IF(Dimension_Summary!F4="","",IF(Dimension_Summary!F4&gt;=80,"✓ Op niveau",IF(Dimension_Summary!F4&gt;=60,"Laag",IF(Dimension_Summary!F4&gt;=40,"Middel","Hoog"))))</f>
        <v>Hoog</v>
      </c>
    </row>
    <row r="23" spans="1:5" x14ac:dyDescent="0.25">
      <c r="A23" s="65" t="str">
        <f>Dimension_Summary!A5</f>
        <v>Skills &amp; Organizational Capability</v>
      </c>
      <c r="B23" s="67">
        <f>Dimension_Summary!F5</f>
        <v>0</v>
      </c>
      <c r="C23" s="71" t="s">
        <v>1397</v>
      </c>
      <c r="D23" s="67">
        <f>IF(Dimension_Summary!F5="","",ROUND(80-Dimension_Summary!F5,1))</f>
        <v>80</v>
      </c>
      <c r="E23" s="68" t="str">
        <f>IF(Dimension_Summary!F5="","",IF(Dimension_Summary!F5&gt;=80,"✓ Op niveau",IF(Dimension_Summary!F5&gt;=60,"Laag",IF(Dimension_Summary!F5&gt;=40,"Middel","Hoog"))))</f>
        <v>Hoog</v>
      </c>
    </row>
    <row r="24" spans="1:5" x14ac:dyDescent="0.25">
      <c r="A24" s="61" t="str">
        <f>Dimension_Summary!A6</f>
        <v>Strategic &amp; Leadership Readiness</v>
      </c>
      <c r="B24" s="63">
        <f>Dimension_Summary!F6</f>
        <v>0</v>
      </c>
      <c r="C24" s="70" t="s">
        <v>1397</v>
      </c>
      <c r="D24" s="63">
        <f>IF(Dimension_Summary!F6="","",ROUND(80-Dimension_Summary!F6,1))</f>
        <v>80</v>
      </c>
      <c r="E24" s="64" t="str">
        <f>IF(Dimension_Summary!F6="","",IF(Dimension_Summary!F6&gt;=80,"✓ Op niveau",IF(Dimension_Summary!F6&gt;=60,"Laag",IF(Dimension_Summary!F6&gt;=40,"Middel","Hoog"))))</f>
        <v>Hoog</v>
      </c>
    </row>
    <row r="25" spans="1:5" x14ac:dyDescent="0.25">
      <c r="A25" s="65" t="str">
        <f>Dimension_Summary!A7</f>
        <v>Technology Infrastructure &amp; Tooling</v>
      </c>
      <c r="B25" s="67">
        <f>Dimension_Summary!F7</f>
        <v>0</v>
      </c>
      <c r="C25" s="71" t="s">
        <v>1397</v>
      </c>
      <c r="D25" s="67">
        <f>IF(Dimension_Summary!F7="","",ROUND(80-Dimension_Summary!F7,1))</f>
        <v>80</v>
      </c>
      <c r="E25" s="68" t="str">
        <f>IF(Dimension_Summary!F7="","",IF(Dimension_Summary!F7&gt;=80,"✓ Op niveau",IF(Dimension_Summary!F7&gt;=60,"Laag",IF(Dimension_Summary!F7&gt;=40,"Middel","Hoog"))))</f>
        <v>Hoog</v>
      </c>
    </row>
    <row r="26" spans="1:5" x14ac:dyDescent="0.25">
      <c r="A26" s="61" t="str">
        <f>Dimension_Summary!A8</f>
        <v>Use Case Maturity &amp; Adoption</v>
      </c>
      <c r="B26" s="63">
        <f>Dimension_Summary!F8</f>
        <v>0</v>
      </c>
      <c r="C26" s="70" t="s">
        <v>1397</v>
      </c>
      <c r="D26" s="63">
        <f>IF(Dimension_Summary!F8="","",ROUND(80-Dimension_Summary!F8,1))</f>
        <v>80</v>
      </c>
      <c r="E26" s="64" t="str">
        <f>IF(Dimension_Summary!F8="","",IF(Dimension_Summary!F8&gt;=80,"✓ Op niveau",IF(Dimension_Summary!F8&gt;=60,"Laag",IF(Dimension_Summary!F8&gt;=40,"Middel","Hoog"))))</f>
        <v>Hoog</v>
      </c>
    </row>
    <row r="27" spans="1:5" ht="24.95" customHeight="1" x14ac:dyDescent="0.25">
      <c r="A27" s="77" t="s">
        <v>1398</v>
      </c>
      <c r="B27" s="75"/>
      <c r="C27" s="75"/>
      <c r="D27" s="75"/>
      <c r="E27" s="75"/>
    </row>
    <row r="28" spans="1:5" x14ac:dyDescent="0.25">
      <c r="A28" s="60" t="s">
        <v>1399</v>
      </c>
      <c r="B28" s="60" t="s">
        <v>1400</v>
      </c>
      <c r="C28" s="60" t="s">
        <v>1401</v>
      </c>
      <c r="D28" s="60" t="s">
        <v>1402</v>
      </c>
      <c r="E28" s="60" t="s">
        <v>1403</v>
      </c>
    </row>
    <row r="29" spans="1:5" x14ac:dyDescent="0.25">
      <c r="A29" s="72" t="s">
        <v>1404</v>
      </c>
      <c r="B29" s="68">
        <f>COUNTIFS(Sheet!$R$2:$R$266,"YES")</f>
        <v>122</v>
      </c>
      <c r="C29" s="68">
        <f>Overall_Summary!B8</f>
        <v>265</v>
      </c>
      <c r="D29" s="67">
        <f>IF(C29=0,"",ROUND(B29/C29*100,1))</f>
        <v>46</v>
      </c>
      <c r="E29" s="66" t="e">
        <f>IF(COUNTIFS(Sheet!$R$2:$R$266,"YES",Sheet!$Q$2:$Q$266,"&lt;&gt;")=0,"",ROUND(AVERAGEIFS(Sheet!$Q$2:$Q$266,Sheet!$R$2:$R$266,"YES",Sheet!$Q$2:$Q$266,"&lt;&gt;"),2))</f>
        <v>#DIV/0!</v>
      </c>
    </row>
    <row r="30" spans="1:5" x14ac:dyDescent="0.25">
      <c r="A30" s="73" t="s">
        <v>1405</v>
      </c>
      <c r="B30" s="64">
        <f>COUNTIFS(Sheet!$S$2:$S$266,"YES")</f>
        <v>201</v>
      </c>
      <c r="C30" s="64">
        <f>Overall_Summary!B8</f>
        <v>265</v>
      </c>
      <c r="D30" s="63">
        <f>IF(C30=0,"",ROUND(B30/C30*100,1))</f>
        <v>75.8</v>
      </c>
      <c r="E30" s="62" t="e">
        <f>IF(COUNTIFS(Sheet!$S$2:$S$266,"YES",Sheet!$Q$2:$Q$266,"&lt;&gt;")=0,"",ROUND(AVERAGEIFS(Sheet!$Q$2:$Q$266,Sheet!$S$2:$S$266,"YES",Sheet!$Q$2:$Q$266,"&lt;&gt;"),2))</f>
        <v>#DIV/0!</v>
      </c>
    </row>
    <row r="31" spans="1:5" x14ac:dyDescent="0.25">
      <c r="A31" s="72" t="s">
        <v>1406</v>
      </c>
      <c r="B31" s="68">
        <f>COUNTIFS(Sheet!$T$2:$T$266,"YES")</f>
        <v>202</v>
      </c>
      <c r="C31" s="68">
        <f>Overall_Summary!B8</f>
        <v>265</v>
      </c>
      <c r="D31" s="67">
        <f>IF(C31=0,"",ROUND(B31/C31*100,1))</f>
        <v>76.2</v>
      </c>
      <c r="E31" s="66" t="e">
        <f>IF(COUNTIFS(Sheet!$T$2:$T$266,"YES",Sheet!$Q$2:$Q$266,"&lt;&gt;")=0,"",ROUND(AVERAGEIFS(Sheet!$Q$2:$Q$266,Sheet!$T$2:$T$266,"YES",Sheet!$Q$2:$Q$266,"&lt;&gt;"),2))</f>
        <v>#DIV/0!</v>
      </c>
    </row>
    <row r="32" spans="1:5" x14ac:dyDescent="0.25">
      <c r="A32" s="73" t="s">
        <v>1407</v>
      </c>
      <c r="B32" s="64">
        <f>COUNTIFS(Sheet!$U$2:$U$266,"YES")</f>
        <v>97</v>
      </c>
      <c r="C32" s="64">
        <f>Overall_Summary!B8</f>
        <v>265</v>
      </c>
      <c r="D32" s="63">
        <f>IF(C32=0,"",ROUND(B32/C32*100,1))</f>
        <v>36.6</v>
      </c>
      <c r="E32" s="62" t="e">
        <f>IF(COUNTIFS(Sheet!$U$2:$U$266,"YES",Sheet!$Q$2:$Q$266,"&lt;&gt;")=0,"",ROUND(AVERAGEIFS(Sheet!$Q$2:$Q$266,Sheet!$U$2:$U$266,"YES",Sheet!$Q$2:$Q$266,"&lt;&gt;"),2))</f>
        <v>#DIV/0!</v>
      </c>
    </row>
    <row r="33" spans="1:5" x14ac:dyDescent="0.25">
      <c r="A33" s="74" t="s">
        <v>1408</v>
      </c>
      <c r="B33" s="75"/>
      <c r="C33" s="75"/>
      <c r="D33" s="75"/>
      <c r="E33" s="75"/>
    </row>
  </sheetData>
  <mergeCells count="7">
    <mergeCell ref="A33:E33"/>
    <mergeCell ref="A1:E1"/>
    <mergeCell ref="C3:E3"/>
    <mergeCell ref="A8:E8"/>
    <mergeCell ref="A3:B3"/>
    <mergeCell ref="A18:E18"/>
    <mergeCell ref="A27:E2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7</vt:i4>
      </vt:variant>
    </vt:vector>
  </HeadingPairs>
  <TitlesOfParts>
    <vt:vector size="7" baseType="lpstr">
      <vt:lpstr>Sheet</vt:lpstr>
      <vt:lpstr>Config</vt:lpstr>
      <vt:lpstr>Dimension_Summary</vt:lpstr>
      <vt:lpstr>Radar_Data</vt:lpstr>
      <vt:lpstr>Overall_Summary</vt:lpstr>
      <vt:lpstr>Column_Explanation</vt:lpstr>
      <vt:lpstr>Results_Dashboard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Kaspar van Hulst</cp:lastModifiedBy>
  <dcterms:created xsi:type="dcterms:W3CDTF">2026-01-19T16:19:54Z</dcterms:created>
  <dcterms:modified xsi:type="dcterms:W3CDTF">2026-04-06T05:42:48Z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0x010100116780B78AC03945B5657609E3C41D7D</vt:lpwstr>
  </property>
  <property fmtid="{D5CDD505-2E9C-101B-9397-08002B2CF9AE}" pid="3" name="MediaServiceImageTags">
    <vt:lpwstr/>
  </property>
</Properties>
</file>